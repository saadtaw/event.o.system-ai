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7ba07fd0b24f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جميع الضيوف" sheetId="1" r:id="Ra04a2f5d4bd141c4"/>
    <x:sheet xmlns:r="http://schemas.openxmlformats.org/officeDocument/2006/relationships" name="المستثمرون" sheetId="2" r:id="Re5a3b9a558fc44f5"/>
    <x:sheet xmlns:r="http://schemas.openxmlformats.org/officeDocument/2006/relationships" name="المحكمون الدوليون" sheetId="3" r:id="R19860c7c04594d2f"/>
    <x:sheet xmlns:r="http://schemas.openxmlformats.org/officeDocument/2006/relationships" name="المرشدون" sheetId="4" r:id="R52c6f8ef246c41e2"/>
    <x:sheet xmlns:r="http://schemas.openxmlformats.org/officeDocument/2006/relationships" name="محكمو معرض الابتكار" sheetId="5" r:id="R25062276f8e14366"/>
    <x:sheet xmlns:r="http://schemas.openxmlformats.org/officeDocument/2006/relationships" name="ملخص وتعليمات" sheetId="6" r:id="Rf51326b559f047c4"/>
    <x:sheet xmlns:r="http://schemas.openxmlformats.org/officeDocument/2006/relationships" name="الفريق الكامل" sheetId="7" r:id="R06ea84e46b2f4e4e"/>
    <x:sheet xmlns:r="http://schemas.openxmlformats.org/officeDocument/2006/relationships" name="توزيع الضيوف" sheetId="8" r:id="R990f9e045b3a40d2"/>
    <x:sheet xmlns:r="http://schemas.openxmlformats.org/officeDocument/2006/relationships" name="خريطة التشغيل" sheetId="9" r:id="Rcece5e8c2acf48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14">
    <x:font>
      <x:sz val="11"/>
      <x:name val="Carlito"/>
    </x:font>
    <x:font>
      <x:b/>
      <x:sz val="18"/>
      <x:color rgb="FFFFFFFF"/>
      <x:name val="Carlito"/>
    </x:font>
    <x:font>
      <x:sz val="10"/>
      <x:color rgb="FF1C5D67"/>
      <x:name val="Carlito"/>
    </x:font>
    <x:font>
      <x:sz val="10"/>
      <x:color rgb="FF61758B"/>
      <x:name val="Carlito"/>
    </x:font>
    <x:font>
      <x:b/>
      <x:sz val="11"/>
      <x:color rgb="FFFFFFFF"/>
      <x:name val="Carlito"/>
    </x:font>
    <x:font>
      <x:b/>
      <x:sz val="17"/>
      <x:color rgb="FFFFFFFF"/>
      <x:name val="Carlito"/>
    </x:font>
    <x:font>
      <x:sz val="11"/>
      <x:color rgb="FF16556A"/>
      <x:name val="Carlito"/>
    </x:font>
    <x:font>
      <x:b/>
      <x:sz val="11"/>
      <x:name val="Carlito"/>
    </x:font>
    <x:font>
      <x:b/>
      <x:sz val="12"/>
      <x:color rgb="FFFFFFFF"/>
      <x:name val="Carlito"/>
    </x:font>
    <x:font>
      <x:b/>
      <x:sz val="16"/>
      <x:color rgb="FFFFFFFF"/>
      <x:name val="Carlito"/>
    </x:font>
    <x:font>
      <x:sz val="10"/>
      <x:color rgb="FFFFFFFF"/>
      <x:name val="Carlito"/>
    </x:font>
    <x:font>
      <x:sz val="10"/>
      <x:color rgb="FF536577"/>
      <x:name val="Carlito"/>
    </x:font>
    <x:font>
      <x:sz val="11"/>
      <x:color rgb="FF18578E"/>
      <x:name val="Carlito"/>
    </x:font>
    <x:font>
      <x:sz val="10"/>
      <x:color rgb="FF14263B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172E4D"/>
      </x:patternFill>
    </x:fill>
    <x:fill>
      <x:patternFill patternType="solid">
        <x:fgColor rgb="FFE9F5F5"/>
      </x:patternFill>
    </x:fill>
    <x:fill>
      <x:patternFill patternType="solid">
        <x:fgColor rgb="FFE4F2F5"/>
      </x:patternFill>
    </x:fill>
    <x:fill>
      <x:patternFill patternType="solid">
        <x:fgColor rgb="FF235374"/>
      </x:patternFill>
    </x:fill>
    <x:fill>
      <x:patternFill patternType="solid">
        <x:fgColor rgb="FFD8E9EF"/>
      </x:patternFill>
    </x:fill>
    <x:fill>
      <x:patternFill patternType="solid">
        <x:fgColor rgb="FFF2F7FA"/>
      </x:patternFill>
    </x:fill>
    <x:fill>
      <x:patternFill patternType="solid">
        <x:fgColor rgb="FF14263B"/>
      </x:patternFill>
    </x:fill>
    <x:fill>
      <x:patternFill patternType="solid">
        <x:fgColor rgb="FF174260"/>
      </x:patternFill>
    </x:fill>
    <x:fill>
      <x:patternFill patternType="solid">
        <x:fgColor rgb="FFF5F8FC"/>
      </x:patternFill>
    </x:fill>
    <x:fill>
      <x:patternFill patternType="solid">
        <x:fgColor rgb="FFEEF6FC"/>
      </x:patternFill>
    </x:fill>
    <x:fill>
      <x:patternFill patternType="solid">
        <x:fgColor rgb="FFE3F0FA"/>
      </x:patternFill>
    </x:fill>
    <x:fill>
      <x:patternFill patternType="solid">
        <x:fgColor rgb="FF0F766E"/>
      </x:patternFill>
    </x:fill>
    <x:fill>
      <x:patternFill patternType="solid">
        <x:fgColor rgb="FFFFFFFF"/>
      </x:patternFill>
    </x:fill>
    <x:fill>
      <x:patternFill patternType="solid">
        <x:fgColor rgb="FFFFF3D6"/>
      </x:patternFill>
    </x:fill>
    <x:fill>
      <x:patternFill patternType="solid">
        <x:fgColor rgb="FFE4F5E9"/>
      </x:patternFill>
    </x:fill>
  </x:fills>
  <x:borders count="2">
    <x:border/>
    <x:border/>
  </x:borders>
  <x:cellStyleXfs count="1">
    <x:xf numFmtId="0" fontId="0" fillId="0" borderId="0"/>
  </x:cellStyleXfs>
  <x:cellXfs count="8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/>
    <x:xf numFmtId="0" fontId="8" fillId="5" borderId="1" xfId="0" applyNumberFormat="1" applyFont="1" applyFill="1" applyBorder="1"/>
    <x:xf numFmtId="0" fontId="0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11" fillId="10" borderId="0" xfId="0" applyNumberFormat="1" applyFont="1" applyFill="1" applyBorder="1"/>
    <x:xf numFmtId="0" fontId="11" fillId="10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horizont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 applyAlignment="1">
      <x:alignment vertical="center" wrapText="1"/>
    </x:xf>
    <x:xf numFmtId="0" fontId="12" fillId="12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8" fillId="13" borderId="0" xfId="0" applyNumberFormat="1" applyFont="1" applyFill="1" applyBorder="1"/>
    <x:xf numFmtId="0" fontId="13" fillId="10" borderId="0" xfId="0" applyNumberFormat="1" applyFont="1" applyFill="1" applyBorder="1"/>
    <x:xf numFmtId="0" fontId="13" fillId="10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13" fillId="14" borderId="0" xfId="0" applyNumberFormat="1" applyFont="1" applyFill="1" applyBorder="1"/>
    <x:xf numFmtId="0" fontId="13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3">
    <x:dxf>
      <x:font>
        <x:b/>
        <x:color rgb="FF186648"/>
      </x:font>
      <x:fill>
        <x:patternFill>
          <x:bgColor rgb="FFDBF5E8"/>
        </x:patternFill>
      </x:fill>
    </x:dxf>
    <x:dxf>
      <x:font>
        <x:b/>
        <x:color rgb="FF866000"/>
      </x:font>
      <x:fill>
        <x:patternFill>
          <x:bgColor rgb="FFFFF1C8"/>
        </x:patternFill>
      </x:fill>
    </x:dxf>
    <x:dxf>
      <x:font>
        <x:b/>
        <x:color rgb="FF315FA5"/>
      </x:font>
      <x:fill>
        <x:patternFill>
          <x:bgColor rgb="FFE7EFFF"/>
        </x:patternFill>
      </x:fill>
    </x:dxf>
    <x:dxf>
      <x:font>
        <x:b/>
        <x:color rgb="FFA82E37"/>
      </x:font>
      <x:fill>
        <x:patternFill>
          <x:bgColor rgb="FFFFE4E6"/>
        </x:patternFill>
      </x:fill>
    </x:dxf>
    <x:dxf>
      <x:font>
        <x:b/>
        <x:color rgb="FF186648"/>
      </x:font>
      <x:fill>
        <x:patternFill>
          <x:bgColor rgb="FFDBF5E8"/>
        </x:patternFill>
      </x:fill>
    </x:dxf>
    <x:dxf>
      <x:font>
        <x:b/>
        <x:color rgb="FF866000"/>
      </x:font>
      <x:fill>
        <x:patternFill>
          <x:bgColor rgb="FFFFF1C8"/>
        </x:patternFill>
      </x:fill>
    </x:dxf>
    <x:dxf>
      <x:font>
        <x:b/>
        <x:color rgb="FF315FA5"/>
      </x:font>
      <x:fill>
        <x:patternFill>
          <x:bgColor rgb="FFE7EFFF"/>
        </x:patternFill>
      </x:fill>
    </x:dxf>
    <x:dxf>
      <x:font>
        <x:b/>
        <x:color rgb="FFA82E37"/>
      </x:font>
      <x:fill>
        <x:patternFill>
          <x:bgColor rgb="FFFFE4E6"/>
        </x:patternFill>
      </x:fill>
    </x:dxf>
    <x:dxf>
      <x:font>
        <x:b/>
        <x:color rgb="FF186648"/>
      </x:font>
      <x:fill>
        <x:patternFill>
          <x:bgColor rgb="FFDBF5E8"/>
        </x:patternFill>
      </x:fill>
    </x:dxf>
    <x:dxf>
      <x:font>
        <x:b/>
        <x:color rgb="FF866000"/>
      </x:font>
      <x:fill>
        <x:patternFill>
          <x:bgColor rgb="FFFFF1C8"/>
        </x:patternFill>
      </x:fill>
    </x:dxf>
    <x:dxf>
      <x:font>
        <x:b/>
        <x:color rgb="FF315FA5"/>
      </x:font>
      <x:fill>
        <x:patternFill>
          <x:bgColor rgb="FFE7EFFF"/>
        </x:patternFill>
      </x:fill>
    </x:dxf>
    <x:dxf>
      <x:font>
        <x:b/>
        <x:color rgb="FFA82E37"/>
      </x:font>
      <x:fill>
        <x:patternFill>
          <x:bgColor rgb="FFFFE4E6"/>
        </x:patternFill>
      </x:fill>
    </x:dxf>
    <x:dxf>
      <x:font>
        <x:b/>
        <x:color rgb="FF186648"/>
      </x:font>
      <x:fill>
        <x:patternFill>
          <x:bgColor rgb="FFDBF5E8"/>
        </x:patternFill>
      </x:fill>
    </x:dxf>
    <x:dxf>
      <x:font>
        <x:b/>
        <x:color rgb="FF866000"/>
      </x:font>
      <x:fill>
        <x:patternFill>
          <x:bgColor rgb="FFFFF1C8"/>
        </x:patternFill>
      </x:fill>
    </x:dxf>
    <x:dxf>
      <x:font>
        <x:b/>
        <x:color rgb="FF315FA5"/>
      </x:font>
      <x:fill>
        <x:patternFill>
          <x:bgColor rgb="FFE7EFFF"/>
        </x:patternFill>
      </x:fill>
    </x:dxf>
    <x:dxf>
      <x:font>
        <x:b/>
        <x:color rgb="FFA82E37"/>
      </x:font>
      <x:fill>
        <x:patternFill>
          <x:bgColor rgb="FFFFE4E6"/>
        </x:patternFill>
      </x:fill>
    </x:dxf>
    <x:dxf>
      <x:font>
        <x:b/>
        <x:color rgb="FF186648"/>
      </x:font>
      <x:fill>
        <x:patternFill>
          <x:bgColor rgb="FFDBF5E8"/>
        </x:patternFill>
      </x:fill>
    </x:dxf>
    <x:dxf>
      <x:font>
        <x:b/>
        <x:color rgb="FF866000"/>
      </x:font>
      <x:fill>
        <x:patternFill>
          <x:bgColor rgb="FFFFF1C8"/>
        </x:patternFill>
      </x:fill>
    </x:dxf>
    <x:dxf>
      <x:font>
        <x:b/>
        <x:color rgb="FF315FA5"/>
      </x:font>
      <x:fill>
        <x:patternFill>
          <x:bgColor rgb="FFE7EFFF"/>
        </x:patternFill>
      </x:fill>
    </x:dxf>
    <x:dxf>
      <x:font>
        <x:b/>
        <x:color rgb="FFA82E37"/>
      </x:font>
      <x:fill>
        <x:patternFill>
          <x:bgColor rgb="FFFFE4E6"/>
        </x:patternFill>
      </x:fill>
    </x:dxf>
    <x:dxf>
      <x:fill>
        <x:patternFill patternType="solid">
          <x:bgColor rgb="FFE4F5E9"/>
        </x:patternFill>
      </x:fill>
    </x:dxf>
    <x:dxf>
      <x:fill>
        <x:patternFill patternType="solid">
          <x:bgColor rgb="FFFDE2E2"/>
        </x:patternFill>
      </x:fill>
    </x:dxf>
    <x:dxf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9d45cbf1f94795" /><Relationship Type="http://schemas.openxmlformats.org/officeDocument/2006/relationships/theme" Target="/xl/theme/theme1.xml" Id="R1013987f1ae54ed5" /><Relationship Type="http://schemas.openxmlformats.org/officeDocument/2006/relationships/sharedStrings" Target="/xl/sharedStrings.xml" Id="Ra01f29a081544428" /><Relationship Type="http://schemas.openxmlformats.org/officeDocument/2006/relationships/worksheet" Target="/xl/worksheets/sheet1.xml" Id="Ra04a2f5d4bd141c4" /><Relationship Type="http://schemas.openxmlformats.org/officeDocument/2006/relationships/worksheet" Target="/xl/worksheets/sheet2.xml" Id="Re5a3b9a558fc44f5" /><Relationship Type="http://schemas.openxmlformats.org/officeDocument/2006/relationships/worksheet" Target="/xl/worksheets/sheet3.xml" Id="R19860c7c04594d2f" /><Relationship Type="http://schemas.openxmlformats.org/officeDocument/2006/relationships/worksheet" Target="/xl/worksheets/sheet4.xml" Id="R52c6f8ef246c41e2" /><Relationship Type="http://schemas.openxmlformats.org/officeDocument/2006/relationships/worksheet" Target="/xl/worksheets/sheet5.xml" Id="R25062276f8e14366" /><Relationship Type="http://schemas.openxmlformats.org/officeDocument/2006/relationships/worksheet" Target="/xl/worksheets/sheet6.xml" Id="Rf51326b559f047c4" /><Relationship Type="http://schemas.openxmlformats.org/officeDocument/2006/relationships/worksheet" Target="/xl/worksheets/sheet7.xml" Id="R06ea84e46b2f4e4e" /><Relationship Type="http://schemas.openxmlformats.org/officeDocument/2006/relationships/worksheet" Target="/xl/worksheets/sheet8.xml" Id="R990f9e045b3a40d2" /><Relationship Type="http://schemas.openxmlformats.org/officeDocument/2006/relationships/worksheet" Target="/xl/worksheets/sheet9.xml" Id="Rcece5e8c2acf48a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55bddf0900aa4429" /><Relationship Type="http://schemas.openxmlformats.org/officeDocument/2006/relationships/image" Target="/xl/media/image2.png" Id="Rfc4e48bae71d40f9" /><Relationship Type="http://schemas.openxmlformats.org/officeDocument/2006/relationships/image" Target="/xl/media/image3.png" Id="Rd775048a2809419b" /><Relationship Type="http://schemas.openxmlformats.org/officeDocument/2006/relationships/image" Target="/xl/media/image4.png" Id="R8506ec9d05684338" /><Relationship Type="http://schemas.openxmlformats.org/officeDocument/2006/relationships/image" Target="/xl/media/image5.png" Id="R0272f1369ef844ef" /><Relationship Type="http://schemas.openxmlformats.org/officeDocument/2006/relationships/image" Target="/xl/media/image6.png" Id="R1d88d537951444ab" /><Relationship Type="http://schemas.openxmlformats.org/officeDocument/2006/relationships/image" Target="/xl/media/image7.png" Id="R9a9e77a606634178" /><Relationship Type="http://schemas.openxmlformats.org/officeDocument/2006/relationships/image" Target="/xl/media/image8.png" Id="R7ac2532b199740fe" /><Relationship Type="http://schemas.openxmlformats.org/officeDocument/2006/relationships/image" Target="/xl/media/image9.png" Id="R54dd206c66d84dc2" /><Relationship Type="http://schemas.openxmlformats.org/officeDocument/2006/relationships/image" Target="/xl/media/image10.png" Id="Rf476a67ede704108" /><Relationship Type="http://schemas.openxmlformats.org/officeDocument/2006/relationships/image" Target="/xl/media/image11.png" Id="R9d795c5a768845a9" /><Relationship Type="http://schemas.openxmlformats.org/officeDocument/2006/relationships/image" Target="/xl/media/image12.png" Id="Re2e7887cd84b4536" /><Relationship Type="http://schemas.openxmlformats.org/officeDocument/2006/relationships/image" Target="/xl/media/image13.png" Id="R6deb81800c1e44a4" /><Relationship Type="http://schemas.openxmlformats.org/officeDocument/2006/relationships/image" Target="/xl/media/image14.png" Id="R7fabca8d93234d5e" /><Relationship Type="http://schemas.openxmlformats.org/officeDocument/2006/relationships/image" Target="/xl/media/image15.png" Id="R059a695d8dfd41cc" /><Relationship Type="http://schemas.openxmlformats.org/officeDocument/2006/relationships/image" Target="/xl/media/image16.png" Id="R26f045bd74df4794" /><Relationship Type="http://schemas.openxmlformats.org/officeDocument/2006/relationships/image" Target="/xl/media/image17.png" Id="Rfe1a6882e85c499e" /><Relationship Type="http://schemas.openxmlformats.org/officeDocument/2006/relationships/image" Target="/xl/media/image18.png" Id="Rfd0250b09dc5484e" /><Relationship Type="http://schemas.openxmlformats.org/officeDocument/2006/relationships/image" Target="/xl/media/image19.png" Id="Rbdf9ea8448cc427a" /><Relationship Type="http://schemas.openxmlformats.org/officeDocument/2006/relationships/image" Target="/xl/media/image20.png" Id="R13b3c6f59db9414e" /><Relationship Type="http://schemas.openxmlformats.org/officeDocument/2006/relationships/image" Target="/xl/media/image21.png" Id="Rfd039f3a9074453a" /><Relationship Type="http://schemas.openxmlformats.org/officeDocument/2006/relationships/image" Target="/xl/media/image22.png" Id="Rc2d2775f6c5e494f" /><Relationship Type="http://schemas.openxmlformats.org/officeDocument/2006/relationships/image" Target="/xl/media/image23.png" Id="Ra9d8a28a76e54e3a" /><Relationship Type="http://schemas.openxmlformats.org/officeDocument/2006/relationships/image" Target="/xl/media/image24.png" Id="R951beb48c81345fe" /><Relationship Type="http://schemas.openxmlformats.org/officeDocument/2006/relationships/image" Target="/xl/media/image25.png" Id="Red0e2d9618384eb3" /><Relationship Type="http://schemas.openxmlformats.org/officeDocument/2006/relationships/image" Target="/xl/media/image26.png" Id="Re560f399c24c4f04" /><Relationship Type="http://schemas.openxmlformats.org/officeDocument/2006/relationships/image" Target="/xl/media/image27.png" Id="R32fdf886d38646ff" /><Relationship Type="http://schemas.openxmlformats.org/officeDocument/2006/relationships/image" Target="/xl/media/image28.png" Id="Rc08079b0c87843b0" /><Relationship Type="http://schemas.openxmlformats.org/officeDocument/2006/relationships/image" Target="/xl/media/image29.png" Id="R69297759b0c74fc4" /><Relationship Type="http://schemas.openxmlformats.org/officeDocument/2006/relationships/image" Target="/xl/media/image30.png" Id="R579caa2a379848b6" /><Relationship Type="http://schemas.openxmlformats.org/officeDocument/2006/relationships/image" Target="/xl/media/image31.png" Id="R190091ea850f47d8" /><Relationship Type="http://schemas.openxmlformats.org/officeDocument/2006/relationships/image" Target="/xl/media/image32.png" Id="R3928747b91514d6d" /><Relationship Type="http://schemas.openxmlformats.org/officeDocument/2006/relationships/image" Target="/xl/media/image33.png" Id="Re0680e4d9cfa4d3b" /><Relationship Type="http://schemas.openxmlformats.org/officeDocument/2006/relationships/image" Target="/xl/media/image34.png" Id="Rcd3d214dc8824671" /><Relationship Type="http://schemas.openxmlformats.org/officeDocument/2006/relationships/image" Target="/xl/media/image35.png" Id="R943d54f87e94418b" /><Relationship Type="http://schemas.openxmlformats.org/officeDocument/2006/relationships/image" Target="/xl/media/image36.png" Id="R56fe584194274be4" /><Relationship Type="http://schemas.openxmlformats.org/officeDocument/2006/relationships/image" Target="/xl/media/image37.png" Id="Reb2620d1800a49b3" /><Relationship Type="http://schemas.openxmlformats.org/officeDocument/2006/relationships/image" Target="/xl/media/image38.png" Id="R6e9a2116ebf445af" /><Relationship Type="http://schemas.openxmlformats.org/officeDocument/2006/relationships/image" Target="/xl/media/image39.png" Id="Rba0ea90e74dd452b" /><Relationship Type="http://schemas.openxmlformats.org/officeDocument/2006/relationships/image" Target="/xl/media/image40.png" Id="R5398c1a3f6f64d8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41.png" Id="Re24ef663c2cc4bd1" /><Relationship Type="http://schemas.openxmlformats.org/officeDocument/2006/relationships/image" Target="/xl/media/image42.png" Id="R7439c1a8a4ac48b7" /><Relationship Type="http://schemas.openxmlformats.org/officeDocument/2006/relationships/image" Target="/xl/media/image43.png" Id="Rf9ba379fc2734c99" /><Relationship Type="http://schemas.openxmlformats.org/officeDocument/2006/relationships/image" Target="/xl/media/image44.png" Id="Rc417ff66e8504ca1" /><Relationship Type="http://schemas.openxmlformats.org/officeDocument/2006/relationships/image" Target="/xl/media/image45.png" Id="Rf33f4553512d4c0e" /><Relationship Type="http://schemas.openxmlformats.org/officeDocument/2006/relationships/image" Target="/xl/media/image46.png" Id="R78ff49308536459e" /><Relationship Type="http://schemas.openxmlformats.org/officeDocument/2006/relationships/image" Target="/xl/media/image47.png" Id="Re4fa0e827e984342" /><Relationship Type="http://schemas.openxmlformats.org/officeDocument/2006/relationships/image" Target="/xl/media/image48.png" Id="Re9400ca997ce4218" /><Relationship Type="http://schemas.openxmlformats.org/officeDocument/2006/relationships/image" Target="/xl/media/image49.png" Id="Rd66fc279ce4b4982" /><Relationship Type="http://schemas.openxmlformats.org/officeDocument/2006/relationships/image" Target="/xl/media/image50.png" Id="R4b4ef450b6f44acf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51.png" Id="R4ace371f99ee4b78" /><Relationship Type="http://schemas.openxmlformats.org/officeDocument/2006/relationships/image" Target="/xl/media/image52.png" Id="R813ce95a11b84ba0" /><Relationship Type="http://schemas.openxmlformats.org/officeDocument/2006/relationships/image" Target="/xl/media/image53.png" Id="R068754b18a7f47b1" /><Relationship Type="http://schemas.openxmlformats.org/officeDocument/2006/relationships/image" Target="/xl/media/image54.png" Id="R55ee2439422e4a6e" /><Relationship Type="http://schemas.openxmlformats.org/officeDocument/2006/relationships/image" Target="/xl/media/image55.png" Id="Rd853fde6b2484162" /><Relationship Type="http://schemas.openxmlformats.org/officeDocument/2006/relationships/image" Target="/xl/media/image56.png" Id="R169ef1987a5b4f16" /><Relationship Type="http://schemas.openxmlformats.org/officeDocument/2006/relationships/image" Target="/xl/media/image57.png" Id="R1e39301e5b0f45ed" /><Relationship Type="http://schemas.openxmlformats.org/officeDocument/2006/relationships/image" Target="/xl/media/image58.png" Id="R1abe4401f2d74543" /><Relationship Type="http://schemas.openxmlformats.org/officeDocument/2006/relationships/image" Target="/xl/media/image59.png" Id="R34a443d41d9145b2" /><Relationship Type="http://schemas.openxmlformats.org/officeDocument/2006/relationships/image" Target="/xl/media/image60.png" Id="R3aaaca83b5324e6b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61.png" Id="R015ef5e332644585" /><Relationship Type="http://schemas.openxmlformats.org/officeDocument/2006/relationships/image" Target="/xl/media/image62.png" Id="R3c70227decc34311" /><Relationship Type="http://schemas.openxmlformats.org/officeDocument/2006/relationships/image" Target="/xl/media/image63.png" Id="R92b40c9917774554" /><Relationship Type="http://schemas.openxmlformats.org/officeDocument/2006/relationships/image" Target="/xl/media/image64.png" Id="Rdebe155a944a44df" /><Relationship Type="http://schemas.openxmlformats.org/officeDocument/2006/relationships/image" Target="/xl/media/image65.png" Id="Rec1f8a96d6b54413" /><Relationship Type="http://schemas.openxmlformats.org/officeDocument/2006/relationships/image" Target="/xl/media/image66.png" Id="R6003ac0b82ea4fb9" /><Relationship Type="http://schemas.openxmlformats.org/officeDocument/2006/relationships/image" Target="/xl/media/image67.png" Id="R644bfa78567943a4" /><Relationship Type="http://schemas.openxmlformats.org/officeDocument/2006/relationships/image" Target="/xl/media/image68.png" Id="R639b9a4b5b1f4291" /><Relationship Type="http://schemas.openxmlformats.org/officeDocument/2006/relationships/image" Target="/xl/media/image69.png" Id="R006c16e2d9824c2e" /><Relationship Type="http://schemas.openxmlformats.org/officeDocument/2006/relationships/image" Target="/xl/media/image70.png" Id="Rbdc646e5e02d46be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71.png" Id="R636d05e4658e471f" /><Relationship Type="http://schemas.openxmlformats.org/officeDocument/2006/relationships/image" Target="/xl/media/image72.png" Id="R4f9031800b614a77" /><Relationship Type="http://schemas.openxmlformats.org/officeDocument/2006/relationships/image" Target="/xl/media/image73.png" Id="R1629e768c1ee480f" /><Relationship Type="http://schemas.openxmlformats.org/officeDocument/2006/relationships/image" Target="/xl/media/image74.png" Id="R7889e30092ca4610" /><Relationship Type="http://schemas.openxmlformats.org/officeDocument/2006/relationships/image" Target="/xl/media/image75.png" Id="R1ac8a408485d4d4e" /><Relationship Type="http://schemas.openxmlformats.org/officeDocument/2006/relationships/image" Target="/xl/media/image76.png" Id="Rd9775a577de445af" /><Relationship Type="http://schemas.openxmlformats.org/officeDocument/2006/relationships/image" Target="/xl/media/image77.png" Id="R0c6bc40cc7ee4043" /><Relationship Type="http://schemas.openxmlformats.org/officeDocument/2006/relationships/image" Target="/xl/media/image78.png" Id="Rc1b6b03eef704896" /><Relationship Type="http://schemas.openxmlformats.org/officeDocument/2006/relationships/image" Target="/xl/media/image79.png" Id="R32abf53c37e94f7b" /><Relationship Type="http://schemas.openxmlformats.org/officeDocument/2006/relationships/image" Target="/xl/media/image80.png" Id="R6c6364dc9e4c4a05" /></Relationships>
</file>

<file path=xl/drawings/drawing1.xml><?xml version="1.0" encoding="utf-8"?>
<xdr:wsDr xmlns:xdr="http://schemas.openxmlformats.org/drawingml/2006/spreadsheetDrawing">
  <xdr:oneCellAnchor>
    <xdr:from>
      <xdr:col>0</xdr:col>
      <xdr:colOff>142875</xdr:colOff>
      <xdr:row>5</xdr:row>
      <xdr:rowOff>47625</xdr:rowOff>
    </xdr:from>
    <xdr:ext cx="419100" cy="419100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bddf0900aa44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6</xdr:row>
      <xdr:rowOff>47625</xdr:rowOff>
    </xdr:from>
    <xdr:ext cx="419100" cy="419100"/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4e48bae71d40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7</xdr:row>
      <xdr:rowOff>47625</xdr:rowOff>
    </xdr:from>
    <xdr:ext cx="419100" cy="419100"/>
    <xdr:pic>
      <xdr:nvPicPr>
        <xdr:cNvPr id="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75048a280941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8</xdr:row>
      <xdr:rowOff>47625</xdr:rowOff>
    </xdr:from>
    <xdr:ext cx="419100" cy="419100"/>
    <xdr:pic>
      <xdr:nvPicPr>
        <xdr:cNvPr id="4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06ec9d056843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9</xdr:row>
      <xdr:rowOff>47625</xdr:rowOff>
    </xdr:from>
    <xdr:ext cx="419100" cy="419100"/>
    <xdr:pic>
      <xdr:nvPicPr>
        <xdr:cNvPr id="5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72f1369ef844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10</xdr:row>
      <xdr:rowOff>47625</xdr:rowOff>
    </xdr:from>
    <xdr:ext cx="419100" cy="419100"/>
    <xdr:pic>
      <xdr:nvPicPr>
        <xdr:cNvPr id="6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88d537951444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11</xdr:row>
      <xdr:rowOff>47625</xdr:rowOff>
    </xdr:from>
    <xdr:ext cx="419100" cy="419100"/>
    <xdr:pic>
      <xdr:nvPicPr>
        <xdr:cNvPr id="7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9e77a60663417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12</xdr:row>
      <xdr:rowOff>47625</xdr:rowOff>
    </xdr:from>
    <xdr:ext cx="419100" cy="419100"/>
    <xdr:pic>
      <xdr:nvPicPr>
        <xdr:cNvPr id="8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c2532b199740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13</xdr:row>
      <xdr:rowOff>47625</xdr:rowOff>
    </xdr:from>
    <xdr:ext cx="419100" cy="419100"/>
    <xdr:pic>
      <xdr:nvPicPr>
        <xdr:cNvPr id="9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4dd206c66d84d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14</xdr:row>
      <xdr:rowOff>47625</xdr:rowOff>
    </xdr:from>
    <xdr:ext cx="419100" cy="419100"/>
    <xdr:pic>
      <xdr:nvPicPr>
        <xdr:cNvPr id="10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76a67ede7041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15</xdr:row>
      <xdr:rowOff>47625</xdr:rowOff>
    </xdr:from>
    <xdr:ext cx="419100" cy="419100"/>
    <xdr:pic>
      <xdr:nvPicPr>
        <xdr:cNvPr id="11" name="/xl/media/image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795c5a768845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16</xdr:row>
      <xdr:rowOff>47625</xdr:rowOff>
    </xdr:from>
    <xdr:ext cx="419100" cy="419100"/>
    <xdr:pic>
      <xdr:nvPicPr>
        <xdr:cNvPr id="12" name="/xl/media/image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e7887cd84b45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17</xdr:row>
      <xdr:rowOff>47625</xdr:rowOff>
    </xdr:from>
    <xdr:ext cx="419100" cy="419100"/>
    <xdr:pic>
      <xdr:nvPicPr>
        <xdr:cNvPr id="13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eb81800c1e44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18</xdr:row>
      <xdr:rowOff>47625</xdr:rowOff>
    </xdr:from>
    <xdr:ext cx="419100" cy="419100"/>
    <xdr:pic>
      <xdr:nvPicPr>
        <xdr:cNvPr id="14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abca8d93234d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19</xdr:row>
      <xdr:rowOff>47625</xdr:rowOff>
    </xdr:from>
    <xdr:ext cx="419100" cy="419100"/>
    <xdr:pic>
      <xdr:nvPicPr>
        <xdr:cNvPr id="15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9a695d8dfd41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20</xdr:row>
      <xdr:rowOff>47625</xdr:rowOff>
    </xdr:from>
    <xdr:ext cx="419100" cy="419100"/>
    <xdr:pic>
      <xdr:nvPicPr>
        <xdr:cNvPr id="16" name="/xl/media/image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f045bd74df47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21</xdr:row>
      <xdr:rowOff>47625</xdr:rowOff>
    </xdr:from>
    <xdr:ext cx="419100" cy="419100"/>
    <xdr:pic>
      <xdr:nvPicPr>
        <xdr:cNvPr id="17" name="/xl/media/image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1a6882e85c49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22</xdr:row>
      <xdr:rowOff>47625</xdr:rowOff>
    </xdr:from>
    <xdr:ext cx="419100" cy="419100"/>
    <xdr:pic>
      <xdr:nvPicPr>
        <xdr:cNvPr id="18" name="/xl/media/image1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0250b09dc548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23</xdr:row>
      <xdr:rowOff>47625</xdr:rowOff>
    </xdr:from>
    <xdr:ext cx="419100" cy="419100"/>
    <xdr:pic>
      <xdr:nvPicPr>
        <xdr:cNvPr id="19" name="/xl/media/image1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f9ea8448cc42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24</xdr:row>
      <xdr:rowOff>47625</xdr:rowOff>
    </xdr:from>
    <xdr:ext cx="419100" cy="419100"/>
    <xdr:pic>
      <xdr:nvPicPr>
        <xdr:cNvPr id="20" name="/xl/media/image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b3c6f59db941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25</xdr:row>
      <xdr:rowOff>47625</xdr:rowOff>
    </xdr:from>
    <xdr:ext cx="419100" cy="419100"/>
    <xdr:pic>
      <xdr:nvPicPr>
        <xdr:cNvPr id="21" name="/xl/media/image2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039f3a907445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26</xdr:row>
      <xdr:rowOff>47625</xdr:rowOff>
    </xdr:from>
    <xdr:ext cx="419100" cy="419100"/>
    <xdr:pic>
      <xdr:nvPicPr>
        <xdr:cNvPr id="22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d2775f6c5e49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27</xdr:row>
      <xdr:rowOff>47625</xdr:rowOff>
    </xdr:from>
    <xdr:ext cx="419100" cy="419100"/>
    <xdr:pic>
      <xdr:nvPicPr>
        <xdr:cNvPr id="23" name="/xl/media/image2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d8a28a76e54e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28</xdr:row>
      <xdr:rowOff>47625</xdr:rowOff>
    </xdr:from>
    <xdr:ext cx="419100" cy="419100"/>
    <xdr:pic>
      <xdr:nvPicPr>
        <xdr:cNvPr id="24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1beb48c81345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29</xdr:row>
      <xdr:rowOff>47625</xdr:rowOff>
    </xdr:from>
    <xdr:ext cx="419100" cy="419100"/>
    <xdr:pic>
      <xdr:nvPicPr>
        <xdr:cNvPr id="25" name="/xl/media/image2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0e2d9618384e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30</xdr:row>
      <xdr:rowOff>47625</xdr:rowOff>
    </xdr:from>
    <xdr:ext cx="419100" cy="419100"/>
    <xdr:pic>
      <xdr:nvPicPr>
        <xdr:cNvPr id="26" name="/xl/media/image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60f399c24c4f0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31</xdr:row>
      <xdr:rowOff>47625</xdr:rowOff>
    </xdr:from>
    <xdr:ext cx="419100" cy="419100"/>
    <xdr:pic>
      <xdr:nvPicPr>
        <xdr:cNvPr id="27" name="/xl/media/image2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fdf886d38646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32</xdr:row>
      <xdr:rowOff>47625</xdr:rowOff>
    </xdr:from>
    <xdr:ext cx="419100" cy="419100"/>
    <xdr:pic>
      <xdr:nvPicPr>
        <xdr:cNvPr id="28" name="/xl/media/image2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8079b0c87843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33</xdr:row>
      <xdr:rowOff>47625</xdr:rowOff>
    </xdr:from>
    <xdr:ext cx="419100" cy="419100"/>
    <xdr:pic>
      <xdr:nvPicPr>
        <xdr:cNvPr id="29" name="/xl/media/image2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297759b0c74f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34</xdr:row>
      <xdr:rowOff>47625</xdr:rowOff>
    </xdr:from>
    <xdr:ext cx="419100" cy="419100"/>
    <xdr:pic>
      <xdr:nvPicPr>
        <xdr:cNvPr id="30" name="/xl/media/image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9caa2a379848b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35</xdr:row>
      <xdr:rowOff>47625</xdr:rowOff>
    </xdr:from>
    <xdr:ext cx="419100" cy="419100"/>
    <xdr:pic>
      <xdr:nvPicPr>
        <xdr:cNvPr id="31" name="/xl/media/image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0091ea850f47d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36</xdr:row>
      <xdr:rowOff>47625</xdr:rowOff>
    </xdr:from>
    <xdr:ext cx="419100" cy="419100"/>
    <xdr:pic>
      <xdr:nvPicPr>
        <xdr:cNvPr id="32" name="/xl/media/image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28747b91514d6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37</xdr:row>
      <xdr:rowOff>47625</xdr:rowOff>
    </xdr:from>
    <xdr:ext cx="419100" cy="419100"/>
    <xdr:pic>
      <xdr:nvPicPr>
        <xdr:cNvPr id="33" name="/xl/media/image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680e4d9cfa4d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38</xdr:row>
      <xdr:rowOff>47625</xdr:rowOff>
    </xdr:from>
    <xdr:ext cx="419100" cy="419100"/>
    <xdr:pic>
      <xdr:nvPicPr>
        <xdr:cNvPr id="34" name="/xl/media/image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3d214dc882467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39</xdr:row>
      <xdr:rowOff>47625</xdr:rowOff>
    </xdr:from>
    <xdr:ext cx="419100" cy="419100"/>
    <xdr:pic>
      <xdr:nvPicPr>
        <xdr:cNvPr id="35" name="/xl/media/image3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3d54f87e9441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40</xdr:row>
      <xdr:rowOff>47625</xdr:rowOff>
    </xdr:from>
    <xdr:ext cx="419100" cy="419100"/>
    <xdr:pic>
      <xdr:nvPicPr>
        <xdr:cNvPr id="36" name="/xl/media/image3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fe584194274b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41</xdr:row>
      <xdr:rowOff>47625</xdr:rowOff>
    </xdr:from>
    <xdr:ext cx="419100" cy="419100"/>
    <xdr:pic>
      <xdr:nvPicPr>
        <xdr:cNvPr id="37" name="/xl/media/image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2620d1800a49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42</xdr:row>
      <xdr:rowOff>47625</xdr:rowOff>
    </xdr:from>
    <xdr:ext cx="419100" cy="419100"/>
    <xdr:pic>
      <xdr:nvPicPr>
        <xdr:cNvPr id="38" name="/xl/media/image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9a2116ebf445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43</xdr:row>
      <xdr:rowOff>47625</xdr:rowOff>
    </xdr:from>
    <xdr:ext cx="419100" cy="419100"/>
    <xdr:pic>
      <xdr:nvPicPr>
        <xdr:cNvPr id="39" name="/xl/media/image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0ea90e74dd45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44</xdr:row>
      <xdr:rowOff>47625</xdr:rowOff>
    </xdr:from>
    <xdr:ext cx="419100" cy="419100"/>
    <xdr:pic>
      <xdr:nvPicPr>
        <xdr:cNvPr id="40" name="/xl/media/image4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98c1a3f6f64d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142875</xdr:colOff>
      <xdr:row>5</xdr:row>
      <xdr:rowOff>47625</xdr:rowOff>
    </xdr:from>
    <xdr:ext cx="419100" cy="419100"/>
    <xdr:pic>
      <xdr:nvPicPr>
        <xdr:cNvPr id="1" name="/xl/media/image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4ef663c2cc4b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6</xdr:row>
      <xdr:rowOff>47625</xdr:rowOff>
    </xdr:from>
    <xdr:ext cx="419100" cy="419100"/>
    <xdr:pic>
      <xdr:nvPicPr>
        <xdr:cNvPr id="2" name="/xl/media/image4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39c1a8a4ac48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7</xdr:row>
      <xdr:rowOff>47625</xdr:rowOff>
    </xdr:from>
    <xdr:ext cx="419100" cy="419100"/>
    <xdr:pic>
      <xdr:nvPicPr>
        <xdr:cNvPr id="3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ba379fc2734c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8</xdr:row>
      <xdr:rowOff>47625</xdr:rowOff>
    </xdr:from>
    <xdr:ext cx="419100" cy="419100"/>
    <xdr:pic>
      <xdr:nvPicPr>
        <xdr:cNvPr id="4" name="/xl/media/image4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17ff66e8504c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9</xdr:row>
      <xdr:rowOff>47625</xdr:rowOff>
    </xdr:from>
    <xdr:ext cx="419100" cy="419100"/>
    <xdr:pic>
      <xdr:nvPicPr>
        <xdr:cNvPr id="5" name="/xl/media/image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3f4553512d4c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10</xdr:row>
      <xdr:rowOff>47625</xdr:rowOff>
    </xdr:from>
    <xdr:ext cx="419100" cy="419100"/>
    <xdr:pic>
      <xdr:nvPicPr>
        <xdr:cNvPr id="6" name="/xl/media/image4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ff4930853645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11</xdr:row>
      <xdr:rowOff>47625</xdr:rowOff>
    </xdr:from>
    <xdr:ext cx="419100" cy="419100"/>
    <xdr:pic>
      <xdr:nvPicPr>
        <xdr:cNvPr id="7" name="/xl/media/image4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fa0e827e9843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12</xdr:row>
      <xdr:rowOff>47625</xdr:rowOff>
    </xdr:from>
    <xdr:ext cx="419100" cy="419100"/>
    <xdr:pic>
      <xdr:nvPicPr>
        <xdr:cNvPr id="8" name="/xl/media/image4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400ca997ce42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13</xdr:row>
      <xdr:rowOff>47625</xdr:rowOff>
    </xdr:from>
    <xdr:ext cx="419100" cy="419100"/>
    <xdr:pic>
      <xdr:nvPicPr>
        <xdr:cNvPr id="9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6fc279ce4b49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14</xdr:row>
      <xdr:rowOff>47625</xdr:rowOff>
    </xdr:from>
    <xdr:ext cx="419100" cy="419100"/>
    <xdr:pic>
      <xdr:nvPicPr>
        <xdr:cNvPr id="10" name="/xl/media/image5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4ef450b6f44a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142875</xdr:colOff>
      <xdr:row>5</xdr:row>
      <xdr:rowOff>47625</xdr:rowOff>
    </xdr:from>
    <xdr:ext cx="419100" cy="419100"/>
    <xdr:pic>
      <xdr:nvPicPr>
        <xdr:cNvPr id="1" name="/xl/media/image5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ce371f99ee4b7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6</xdr:row>
      <xdr:rowOff>47625</xdr:rowOff>
    </xdr:from>
    <xdr:ext cx="419100" cy="419100"/>
    <xdr:pic>
      <xdr:nvPicPr>
        <xdr:cNvPr id="2" name="/xl/media/image5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13ce95a11b84b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7</xdr:row>
      <xdr:rowOff>47625</xdr:rowOff>
    </xdr:from>
    <xdr:ext cx="419100" cy="419100"/>
    <xdr:pic>
      <xdr:nvPicPr>
        <xdr:cNvPr id="3" name="/xl/media/image5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8754b18a7f47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8</xdr:row>
      <xdr:rowOff>47625</xdr:rowOff>
    </xdr:from>
    <xdr:ext cx="419100" cy="419100"/>
    <xdr:pic>
      <xdr:nvPicPr>
        <xdr:cNvPr id="4" name="/xl/media/image5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ee2439422e4a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9</xdr:row>
      <xdr:rowOff>47625</xdr:rowOff>
    </xdr:from>
    <xdr:ext cx="419100" cy="419100"/>
    <xdr:pic>
      <xdr:nvPicPr>
        <xdr:cNvPr id="5" name="/xl/media/image5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53fde6b24841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10</xdr:row>
      <xdr:rowOff>47625</xdr:rowOff>
    </xdr:from>
    <xdr:ext cx="419100" cy="419100"/>
    <xdr:pic>
      <xdr:nvPicPr>
        <xdr:cNvPr id="6" name="/xl/media/image5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9ef1987a5b4f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11</xdr:row>
      <xdr:rowOff>47625</xdr:rowOff>
    </xdr:from>
    <xdr:ext cx="419100" cy="419100"/>
    <xdr:pic>
      <xdr:nvPicPr>
        <xdr:cNvPr id="7" name="/xl/media/image5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39301e5b0f45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12</xdr:row>
      <xdr:rowOff>47625</xdr:rowOff>
    </xdr:from>
    <xdr:ext cx="419100" cy="419100"/>
    <xdr:pic>
      <xdr:nvPicPr>
        <xdr:cNvPr id="8" name="/xl/media/image5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be4401f2d745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13</xdr:row>
      <xdr:rowOff>47625</xdr:rowOff>
    </xdr:from>
    <xdr:ext cx="419100" cy="419100"/>
    <xdr:pic>
      <xdr:nvPicPr>
        <xdr:cNvPr id="9" name="/xl/media/image5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a443d41d9145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14</xdr:row>
      <xdr:rowOff>47625</xdr:rowOff>
    </xdr:from>
    <xdr:ext cx="419100" cy="419100"/>
    <xdr:pic>
      <xdr:nvPicPr>
        <xdr:cNvPr id="10" name="/xl/media/image6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aaca83b5324e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142875</xdr:colOff>
      <xdr:row>5</xdr:row>
      <xdr:rowOff>47625</xdr:rowOff>
    </xdr:from>
    <xdr:ext cx="419100" cy="419100"/>
    <xdr:pic>
      <xdr:nvPicPr>
        <xdr:cNvPr id="1" name="/xl/media/image6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5ef5e3326445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6</xdr:row>
      <xdr:rowOff>47625</xdr:rowOff>
    </xdr:from>
    <xdr:ext cx="419100" cy="419100"/>
    <xdr:pic>
      <xdr:nvPicPr>
        <xdr:cNvPr id="2" name="/xl/media/image6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70227decc343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7</xdr:row>
      <xdr:rowOff>47625</xdr:rowOff>
    </xdr:from>
    <xdr:ext cx="419100" cy="419100"/>
    <xdr:pic>
      <xdr:nvPicPr>
        <xdr:cNvPr id="3" name="/xl/media/image6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b40c99177745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8</xdr:row>
      <xdr:rowOff>47625</xdr:rowOff>
    </xdr:from>
    <xdr:ext cx="419100" cy="419100"/>
    <xdr:pic>
      <xdr:nvPicPr>
        <xdr:cNvPr id="4" name="/xl/media/image6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be155a944a44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9</xdr:row>
      <xdr:rowOff>47625</xdr:rowOff>
    </xdr:from>
    <xdr:ext cx="419100" cy="419100"/>
    <xdr:pic>
      <xdr:nvPicPr>
        <xdr:cNvPr id="5" name="/xl/media/image6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1f8a96d6b544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10</xdr:row>
      <xdr:rowOff>47625</xdr:rowOff>
    </xdr:from>
    <xdr:ext cx="419100" cy="419100"/>
    <xdr:pic>
      <xdr:nvPicPr>
        <xdr:cNvPr id="6" name="/xl/media/image6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03ac0b82ea4f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11</xdr:row>
      <xdr:rowOff>47625</xdr:rowOff>
    </xdr:from>
    <xdr:ext cx="419100" cy="419100"/>
    <xdr:pic>
      <xdr:nvPicPr>
        <xdr:cNvPr id="7" name="/xl/media/image6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4bfa78567943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12</xdr:row>
      <xdr:rowOff>47625</xdr:rowOff>
    </xdr:from>
    <xdr:ext cx="419100" cy="419100"/>
    <xdr:pic>
      <xdr:nvPicPr>
        <xdr:cNvPr id="8" name="/xl/media/image6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9b9a4b5b1f42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13</xdr:row>
      <xdr:rowOff>47625</xdr:rowOff>
    </xdr:from>
    <xdr:ext cx="419100" cy="419100"/>
    <xdr:pic>
      <xdr:nvPicPr>
        <xdr:cNvPr id="9" name="/xl/media/image6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6c16e2d9824c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14</xdr:row>
      <xdr:rowOff>47625</xdr:rowOff>
    </xdr:from>
    <xdr:ext cx="419100" cy="419100"/>
    <xdr:pic>
      <xdr:nvPicPr>
        <xdr:cNvPr id="10" name="/xl/media/image7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c646e5e02d46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0</xdr:col>
      <xdr:colOff>142875</xdr:colOff>
      <xdr:row>5</xdr:row>
      <xdr:rowOff>47625</xdr:rowOff>
    </xdr:from>
    <xdr:ext cx="419100" cy="419100"/>
    <xdr:pic>
      <xdr:nvPicPr>
        <xdr:cNvPr id="1" name="/xl/media/image7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6d05e4658e47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6</xdr:row>
      <xdr:rowOff>47625</xdr:rowOff>
    </xdr:from>
    <xdr:ext cx="419100" cy="419100"/>
    <xdr:pic>
      <xdr:nvPicPr>
        <xdr:cNvPr id="2" name="/xl/media/image7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9031800b614a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7</xdr:row>
      <xdr:rowOff>47625</xdr:rowOff>
    </xdr:from>
    <xdr:ext cx="419100" cy="419100"/>
    <xdr:pic>
      <xdr:nvPicPr>
        <xdr:cNvPr id="3" name="/xl/media/image7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29e768c1ee48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8</xdr:row>
      <xdr:rowOff>47625</xdr:rowOff>
    </xdr:from>
    <xdr:ext cx="419100" cy="419100"/>
    <xdr:pic>
      <xdr:nvPicPr>
        <xdr:cNvPr id="4" name="/xl/media/image7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89e30092ca46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9</xdr:row>
      <xdr:rowOff>47625</xdr:rowOff>
    </xdr:from>
    <xdr:ext cx="419100" cy="419100"/>
    <xdr:pic>
      <xdr:nvPicPr>
        <xdr:cNvPr id="5" name="/xl/media/image7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c8a408485d4d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10</xdr:row>
      <xdr:rowOff>47625</xdr:rowOff>
    </xdr:from>
    <xdr:ext cx="419100" cy="419100"/>
    <xdr:pic>
      <xdr:nvPicPr>
        <xdr:cNvPr id="6" name="/xl/media/image7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775a577de445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11</xdr:row>
      <xdr:rowOff>47625</xdr:rowOff>
    </xdr:from>
    <xdr:ext cx="419100" cy="419100"/>
    <xdr:pic>
      <xdr:nvPicPr>
        <xdr:cNvPr id="7" name="/xl/media/image7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6bc40cc7ee40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12</xdr:row>
      <xdr:rowOff>47625</xdr:rowOff>
    </xdr:from>
    <xdr:ext cx="419100" cy="419100"/>
    <xdr:pic>
      <xdr:nvPicPr>
        <xdr:cNvPr id="8" name="/xl/media/image7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b6b03eef7048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13</xdr:row>
      <xdr:rowOff>47625</xdr:rowOff>
    </xdr:from>
    <xdr:ext cx="419100" cy="419100"/>
    <xdr:pic>
      <xdr:nvPicPr>
        <xdr:cNvPr id="9" name="/xl/media/image7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abf53c37e94f7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142875</xdr:colOff>
      <xdr:row>14</xdr:row>
      <xdr:rowOff>47625</xdr:rowOff>
    </xdr:from>
    <xdr:ext cx="419100" cy="419100"/>
    <xdr:pic>
      <xdr:nvPicPr>
        <xdr:cNvPr id="10" name="/xl/media/image8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6364dc9e4c4a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GuestMaster" displayName="GuestMaster" ref="A5:L45" headerRowCount="1" totalsRowCount="0" totalsRowShown="0">
  <x:tableColumns count="12">
    <x:tableColumn id="1" name="الصورة"/>
    <x:tableColumn id="2" name="نوع الدور"/>
    <x:tableColumn id="3" name="الاسم"/>
    <x:tableColumn id="4" name="المسمى الوظيفي"/>
    <x:tableColumn id="5" name="مجال الخبرة"/>
    <x:tableColumn id="6" name="المسار"/>
    <x:tableColumn id="7" name="الجوال"/>
    <x:tableColumn id="8" name="البريد الإلكتروني"/>
    <x:tableColumn id="9" name="الحالة / التوفر"/>
    <x:tableColumn id="10" name="قائد المسار"/>
    <x:tableColumn id="11" name="مسؤول الاستقبال"/>
    <x:tableColumn id="12" name="ملاحظات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rackINV" displayName="TrackINV" ref="A5:L15" headerRowCount="1" totalsRowCount="0" totalsRowShown="0">
  <x:tableColumns count="12">
    <x:tableColumn id="1" name="الصورة"/>
    <x:tableColumn id="2" name="نوع الدور"/>
    <x:tableColumn id="3" name="الاسم"/>
    <x:tableColumn id="4" name="المسمى الوظيفي"/>
    <x:tableColumn id="5" name="مجال الخبرة"/>
    <x:tableColumn id="6" name="المسار"/>
    <x:tableColumn id="7" name="الجوال"/>
    <x:tableColumn id="8" name="البريد الإلكتروني"/>
    <x:tableColumn id="9" name="الحالة / التوفر"/>
    <x:tableColumn id="10" name="قائد المسار"/>
    <x:tableColumn id="11" name="مسؤول الاستقبال"/>
    <x:tableColumn id="12" name="ملاحظات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ackIJ" displayName="TrackIJ" ref="A5:L15" headerRowCount="1" totalsRowCount="0" totalsRowShown="0">
  <x:tableColumns count="12">
    <x:tableColumn id="1" name="الصورة"/>
    <x:tableColumn id="2" name="نوع الدور"/>
    <x:tableColumn id="3" name="الاسم"/>
    <x:tableColumn id="4" name="المسمى الوظيفي"/>
    <x:tableColumn id="5" name="مجال الخبرة"/>
    <x:tableColumn id="6" name="المسار"/>
    <x:tableColumn id="7" name="الجوال"/>
    <x:tableColumn id="8" name="البريد الإلكتروني"/>
    <x:tableColumn id="9" name="الحالة / التوفر"/>
    <x:tableColumn id="10" name="قائد المسار"/>
    <x:tableColumn id="11" name="مسؤول الاستقبال"/>
    <x:tableColumn id="12" name="ملاحظات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rackMNT" displayName="TrackMNT" ref="A5:L15" headerRowCount="1" totalsRowCount="0" totalsRowShown="0">
  <x:tableColumns count="12">
    <x:tableColumn id="1" name="الصورة"/>
    <x:tableColumn id="2" name="نوع الدور"/>
    <x:tableColumn id="3" name="الاسم"/>
    <x:tableColumn id="4" name="المسمى الوظيفي"/>
    <x:tableColumn id="5" name="مجال الخبرة"/>
    <x:tableColumn id="6" name="المسار"/>
    <x:tableColumn id="7" name="الجوال"/>
    <x:tableColumn id="8" name="البريد الإلكتروني"/>
    <x:tableColumn id="9" name="الحالة / التوفر"/>
    <x:tableColumn id="10" name="قائد المسار"/>
    <x:tableColumn id="11" name="مسؤول الاستقبال"/>
    <x:tableColumn id="12" name="ملاحظات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rackEXJ" displayName="TrackEXJ" ref="A5:L15" headerRowCount="1" totalsRowCount="0" totalsRowShown="0">
  <x:tableColumns count="12">
    <x:tableColumn id="1" name="الصورة"/>
    <x:tableColumn id="2" name="نوع الدور"/>
    <x:tableColumn id="3" name="الاسم"/>
    <x:tableColumn id="4" name="المسمى الوظيفي"/>
    <x:tableColumn id="5" name="مجال الخبرة"/>
    <x:tableColumn id="6" name="المسار"/>
    <x:tableColumn id="7" name="الجوال"/>
    <x:tableColumn id="8" name="البريد الإلكتروني"/>
    <x:tableColumn id="9" name="الحالة / التوفر"/>
    <x:tableColumn id="10" name="قائد المسار"/>
    <x:tableColumn id="11" name="مسؤول الاستقبال"/>
    <x:tableColumn id="12" name="ملاحظات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ventOpsStaff" displayName="EventOpsStaff" ref="A5:P47" headerRowCount="1" totalsRowCount="0" totalsRowShown="0">
  <x:tableColumns count="16">
    <x:tableColumn id="1" name="معرّف العضو"/>
    <x:tableColumn id="2" name="الاسم"/>
    <x:tableColumn id="3" name="المستوى التنظيمي"/>
    <x:tableColumn id="4" name="الدور التشغيلي"/>
    <x:tableColumn id="5" name="المسار / اللجنة"/>
    <x:tableColumn id="6" name="موقع العمل"/>
    <x:tableColumn id="7" name="البوابة"/>
    <x:tableColumn id="8" name="النطاق / المنطقة"/>
    <x:tableColumn id="9" name="المسؤول المباشر"/>
    <x:tableColumn id="10" name="الجوال التجريبي"/>
    <x:tableColumn id="11" name="البريد الإلكتروني التجريبي"/>
    <x:tableColumn id="12" name="المناوبة"/>
    <x:tableColumn id="13" name="حالة التكليف"/>
    <x:tableColumn id="14" name="المهام والمسؤوليات"/>
    <x:tableColumn id="15" name="ملاحظات"/>
    <x:tableColumn id="16" name="عدد الضيوف المرتبطين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8" name="EventOpsGuestAssignments" displayName="EventOpsGuestAssignments" ref="A5:R45" headerRowCount="1" totalsRowCount="0" totalsRowShown="0">
  <x:tableColumns count="18">
    <x:tableColumn id="1" name="معرّف الضيف"/>
    <x:tableColumn id="2" name="اسم الضيف"/>
    <x:tableColumn id="3" name="المسار"/>
    <x:tableColumn id="4" name="قائد المسار"/>
    <x:tableColumn id="5" name="عضو الاستقبال"/>
    <x:tableColumn id="6" name="البوابة الافتراضية"/>
    <x:tableColumn id="7" name="مسؤول البوابة"/>
    <x:tableColumn id="8" name="الوجهة المخصصة"/>
    <x:tableColumn id="9" name="حالة الدعوة"/>
    <x:tableColumn id="10" name="جوال المستقبل"/>
    <x:tableColumn id="11" name="جوال قائد المسار"/>
    <x:tableColumn id="12" name="جوال مسؤول البوابة"/>
    <x:tableColumn id="13" name="جوال الضيف التجريبي"/>
    <x:tableColumn id="14" name="البوابة المحددة عند الوصول"/>
    <x:tableColumn id="15" name="الموقف المحدد عند الوصول"/>
    <x:tableColumn id="16" name="حالة الوصول"/>
    <x:tableColumn id="17" name="تدقيق التكليف"/>
    <x:tableColumn id="18" name="ملاحظة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EventOpsMap" displayName="EventOpsMap" ref="A5:I9" headerRowCount="1" totalsRowCount="0" totalsRowShown="0">
  <x:tableColumns count="9">
    <x:tableColumn id="1" name="المسار"/>
    <x:tableColumn id="2" name="البوابة الافتراضية"/>
    <x:tableColumn id="3" name="المنطقة"/>
    <x:tableColumn id="4" name="مسؤول المنطقة"/>
    <x:tableColumn id="5" name="الوجهة الأساسية"/>
    <x:tableColumn id="6" name="قائد المسار"/>
    <x:tableColumn id="7" name="أعضاء الفريق"/>
    <x:tableColumn id="8" name="إجمالي الضيوف"/>
    <x:tableColumn id="9" name="الضيوف المؤكدون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490f83c432047c7" /><Relationship Type="http://schemas.openxmlformats.org/officeDocument/2006/relationships/table" Target="/xl/tables/table1.xml" Id="Rd78521c5c11346a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13d04dfcd71e4849" /><Relationship Type="http://schemas.openxmlformats.org/officeDocument/2006/relationships/table" Target="/xl/tables/table2.xml" Id="R7504ce8bd60c48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06e7e7cb403a488a" /><Relationship Type="http://schemas.openxmlformats.org/officeDocument/2006/relationships/table" Target="/xl/tables/table3.xml" Id="Raeff1786af1445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07cc3772ca2646f5" /><Relationship Type="http://schemas.openxmlformats.org/officeDocument/2006/relationships/table" Target="/xl/tables/table4.xml" Id="R13366593f01643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847576d055234020" /><Relationship Type="http://schemas.openxmlformats.org/officeDocument/2006/relationships/table" Target="/xl/tables/table5.xml" Id="Rfc775bcd10be434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54be9196a654ee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011ca86f04b440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ee543e49c4f4003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23" hidden="0" customWidth="1"/>
    <x:col min="3" max="3" width="24" hidden="0" customWidth="1"/>
    <x:col min="4" max="4" width="35" hidden="0" customWidth="1"/>
    <x:col min="5" max="5" width="33" hidden="0" customWidth="1"/>
    <x:col min="6" max="6" width="29" hidden="0" customWidth="1"/>
    <x:col min="7" max="7" width="20" hidden="0" customWidth="1"/>
    <x:col min="8" max="8" width="29" hidden="0" customWidth="1"/>
    <x:col min="9" max="9" width="20" hidden="0" customWidth="1"/>
    <x:col min="10" max="10" width="23" hidden="0" customWidth="1"/>
    <x:col min="11" max="11" width="25" hidden="0" customWidth="1"/>
    <x:col min="12" max="12" width="43" hidden="0" customWidth="1"/>
  </x:cols>
  <x:sheetData>
    <x:row r="1" ht="42" customHeight="1">
      <x:c r="A1" s="4" t="str">
        <x:v>EVENTOPS AI | قاعدة بيانات الضيوف الافتراضيين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6" customHeight="1">
      <x:c r="A2" s="10" t="str">
        <x:v>بيانات اصطناعية بالكامل | الهواتف غير صالحة للاتصال | البريد على example.com | الصور رمزية | لأغراض اختبار EventOps AI فقط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3" ht="23" customHeight="1">
      <x:c r="A3" s="14" t="str">
        <x:v>عدد الضيوف: 40  •  تتضمن قائمة قابلة للتصفية حسب المسار والحالة ومسؤول الاستقبال  •  جميع الأسماء والمهام افتراضية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</x:row>
    <x:row r="5" ht="34" customHeight="1">
      <x:c r="A5" s="19" t="str">
        <x:v>الصورة</x:v>
      </x:c>
      <x:c r="B5" s="19" t="str">
        <x:v>نوع الدور</x:v>
      </x:c>
      <x:c r="C5" s="19" t="str">
        <x:v>الاسم</x:v>
      </x:c>
      <x:c r="D5" s="19" t="str">
        <x:v>المسمى الوظيفي</x:v>
      </x:c>
      <x:c r="E5" s="19" t="str">
        <x:v>مجال الخبرة</x:v>
      </x:c>
      <x:c r="F5" s="19" t="str">
        <x:v>المسار</x:v>
      </x:c>
      <x:c r="G5" s="19" t="str">
        <x:v>الجوال</x:v>
      </x:c>
      <x:c r="H5" s="19" t="str">
        <x:v>البريد الإلكتروني</x:v>
      </x:c>
      <x:c r="I5" s="19" t="str">
        <x:v>الحالة / التوفر</x:v>
      </x:c>
      <x:c r="J5" s="19" t="str">
        <x:v>قائد المسار</x:v>
      </x:c>
      <x:c r="K5" s="19" t="str">
        <x:v>مسؤول الاستقبال</x:v>
      </x:c>
      <x:c r="L5" s="19" t="str">
        <x:v>ملاحظات</x:v>
      </x:c>
    </x:row>
    <x:row r="6" ht="55" customHeight="1">
      <x:c r="A6" s="30" t="str"/>
      <x:c r="B6" s="25" t="str">
        <x:v>مستثمر استراتيجي</x:v>
      </x:c>
      <x:c r="C6" s="25" t="str">
        <x:v>عبدالرحمن السالم</x:v>
      </x:c>
      <x:c r="D6" s="25" t="str">
        <x:v>شريك إداري في شركة استثمار افتراضية</x:v>
      </x:c>
      <x:c r="E6" s="25" t="str">
        <x:v>الاستثمار في التقنيات الصحية</x:v>
      </x:c>
      <x:c r="F6" s="25" t="str">
        <x:v>المستثمرون – يوم العروض</x:v>
      </x:c>
      <x:c r="G6" s="28" t="str">
        <x:v>05XX-XXX-0001</x:v>
      </x:c>
      <x:c r="H6" s="28" t="str">
        <x:v>inv01@example.com</x:v>
      </x:c>
      <x:c r="I6" s="25" t="str">
        <x:v>مؤكد</x:v>
      </x:c>
      <x:c r="J6" s="25" t="str">
        <x:v>نادر الحربي</x:v>
      </x:c>
      <x:c r="K6" s="25" t="str">
        <x:v>هناء الماجد</x:v>
      </x:c>
      <x:c r="L6" s="25" t="str">
        <x:v>مهتم بالعروض المتعلقة بالأجهزة الطبية.</x:v>
      </x:c>
    </x:row>
    <x:row r="7" ht="55" customHeight="1">
      <x:c r="A7" s="30" t="str"/>
      <x:c r="B7" s="25" t="str">
        <x:v>مستثمر ملائكي</x:v>
      </x:c>
      <x:c r="C7" s="25" t="str">
        <x:v>رُبى الشمري</x:v>
      </x:c>
      <x:c r="D7" s="25" t="str">
        <x:v>مستثمرة في الشركات الناشئة</x:v>
      </x:c>
      <x:c r="E7" s="25" t="str">
        <x:v>الصحة الرقمية والابتكار</x:v>
      </x:c>
      <x:c r="F7" s="25" t="str">
        <x:v>المستثمرون – يوم العروض</x:v>
      </x:c>
      <x:c r="G7" s="28" t="str">
        <x:v>05XX-XXX-0002</x:v>
      </x:c>
      <x:c r="H7" s="28" t="str">
        <x:v>inv02@example.com</x:v>
      </x:c>
      <x:c r="I7" s="25" t="str">
        <x:v>مؤكد</x:v>
      </x:c>
      <x:c r="J7" s="25" t="str">
        <x:v>نادر الحربي</x:v>
      </x:c>
      <x:c r="K7" s="25" t="str">
        <x:v>سامي الوهيبي</x:v>
      </x:c>
      <x:c r="L7" s="25" t="str">
        <x:v>يفضل إرسال الملخص التنفيذي قبل اللقاء.</x:v>
      </x:c>
    </x:row>
    <x:row r="8" ht="55" customHeight="1">
      <x:c r="A8" s="30" t="str"/>
      <x:c r="B8" s="25" t="str">
        <x:v>ممثل صندوق استثماري</x:v>
      </x:c>
      <x:c r="C8" s="25" t="str">
        <x:v>سلمان الهزاع</x:v>
      </x:c>
      <x:c r="D8" s="25" t="str">
        <x:v>مدير استثمارات</x:v>
      </x:c>
      <x:c r="E8" s="25" t="str">
        <x:v>رأس المال الجريء</x:v>
      </x:c>
      <x:c r="F8" s="25" t="str">
        <x:v>المستثمرون – يوم العروض</x:v>
      </x:c>
      <x:c r="G8" s="28" t="str">
        <x:v>05XX-XXX-0003</x:v>
      </x:c>
      <x:c r="H8" s="28" t="str">
        <x:v>inv03@example.com</x:v>
      </x:c>
      <x:c r="I8" s="25" t="str">
        <x:v>بانتظار التأكيد</x:v>
      </x:c>
      <x:c r="J8" s="25" t="str">
        <x:v>نادر الحربي</x:v>
      </x:c>
      <x:c r="K8" s="25" t="str">
        <x:v>ريم السهلي</x:v>
      </x:c>
      <x:c r="L8" s="25" t="str">
        <x:v>يحتاج ترتيب اجتماع بعد العروض.</x:v>
      </x:c>
    </x:row>
    <x:row r="9" ht="55" customHeight="1">
      <x:c r="A9" s="30" t="str"/>
      <x:c r="B9" s="25" t="str">
        <x:v>شريكة استثمارية</x:v>
      </x:c>
      <x:c r="C9" s="25" t="str">
        <x:v>مشاعل الناصر</x:v>
      </x:c>
      <x:c r="D9" s="25" t="str">
        <x:v>شريكة في صندوق افتراضي</x:v>
      </x:c>
      <x:c r="E9" s="25" t="str">
        <x:v>التقنيات الطبية الناشئة</x:v>
      </x:c>
      <x:c r="F9" s="25" t="str">
        <x:v>المستثمرون – يوم العروض</x:v>
      </x:c>
      <x:c r="G9" s="28" t="str">
        <x:v>05XX-XXX-0004</x:v>
      </x:c>
      <x:c r="H9" s="28" t="str">
        <x:v>inv04@example.com</x:v>
      </x:c>
      <x:c r="I9" s="25" t="str">
        <x:v>مؤكد</x:v>
      </x:c>
      <x:c r="J9" s="25" t="str">
        <x:v>نادر الحربي</x:v>
      </x:c>
      <x:c r="K9" s="25" t="str">
        <x:v>هناء الماجد</x:v>
      </x:c>
      <x:c r="L9" s="25" t="str">
        <x:v>ترغب في جولة معرض الابتكار.</x:v>
      </x:c>
    </x:row>
    <x:row r="10" ht="55" customHeight="1">
      <x:c r="A10" s="30" t="str"/>
      <x:c r="B10" s="25" t="str">
        <x:v>مستثمر مؤسسي</x:v>
      </x:c>
      <x:c r="C10" s="25" t="str">
        <x:v>خالد العتيق</x:v>
      </x:c>
      <x:c r="D10" s="25" t="str">
        <x:v>مدير تطوير الأعمال والاستثمار</x:v>
      </x:c>
      <x:c r="E10" s="25" t="str">
        <x:v>الاستثمار المؤسسي والتحول الصحي</x:v>
      </x:c>
      <x:c r="F10" s="25" t="str">
        <x:v>المستثمرون – يوم العروض</x:v>
      </x:c>
      <x:c r="G10" s="28" t="str">
        <x:v>05XX-XXX-0005</x:v>
      </x:c>
      <x:c r="H10" s="28" t="str">
        <x:v>inv05@example.com</x:v>
      </x:c>
      <x:c r="I10" s="25" t="str">
        <x:v>قيد التنسيق</x:v>
      </x:c>
      <x:c r="J10" s="25" t="str">
        <x:v>نادر الحربي</x:v>
      </x:c>
      <x:c r="K10" s="25" t="str">
        <x:v>سامي الوهيبي</x:v>
      </x:c>
      <x:c r="L10" s="25" t="str">
        <x:v>تحديد بوابة كبار الشخصيات.</x:v>
      </x:c>
    </x:row>
    <x:row r="11" ht="55" customHeight="1">
      <x:c r="A11" s="30" t="str"/>
      <x:c r="B11" s="25" t="str">
        <x:v>مستثمرة ملائكية</x:v>
      </x:c>
      <x:c r="C11" s="25" t="str">
        <x:v>ليان الدوسري</x:v>
      </x:c>
      <x:c r="D11" s="25" t="str">
        <x:v>مؤسسة شركة استثمار افتراضية</x:v>
      </x:c>
      <x:c r="E11" s="25" t="str">
        <x:v>ريادة الأعمال الصحية</x:v>
      </x:c>
      <x:c r="F11" s="25" t="str">
        <x:v>المستثمرون – يوم العروض</x:v>
      </x:c>
      <x:c r="G11" s="28" t="str">
        <x:v>05XX-XXX-0006</x:v>
      </x:c>
      <x:c r="H11" s="28" t="str">
        <x:v>inv06@example.com</x:v>
      </x:c>
      <x:c r="I11" s="25" t="str">
        <x:v>مؤكد</x:v>
      </x:c>
      <x:c r="J11" s="25" t="str">
        <x:v>نادر الحربي</x:v>
      </x:c>
      <x:c r="K11" s="25" t="str">
        <x:v>ريم السهلي</x:v>
      </x:c>
      <x:c r="L11" s="25" t="str">
        <x:v>بحاجة إلى معلومات مواقف الضيوف.</x:v>
      </x:c>
    </x:row>
    <x:row r="12" ht="55" customHeight="1">
      <x:c r="A12" s="30" t="str"/>
      <x:c r="B12" s="25" t="str">
        <x:v>ممثل صندوق استثماري</x:v>
      </x:c>
      <x:c r="C12" s="25" t="str">
        <x:v>نواف العبدالله</x:v>
      </x:c>
      <x:c r="D12" s="25" t="str">
        <x:v>مدير محفظة استثمارية</x:v>
      </x:c>
      <x:c r="E12" s="25" t="str">
        <x:v>تحليل الفرص والشراكات</x:v>
      </x:c>
      <x:c r="F12" s="25" t="str">
        <x:v>المستثمرون – يوم العروض</x:v>
      </x:c>
      <x:c r="G12" s="28" t="str">
        <x:v>05XX-XXX-0007</x:v>
      </x:c>
      <x:c r="H12" s="28" t="str">
        <x:v>inv07@example.com</x:v>
      </x:c>
      <x:c r="I12" s="25" t="str">
        <x:v>مؤكد</x:v>
      </x:c>
      <x:c r="J12" s="25" t="str">
        <x:v>نادر الحربي</x:v>
      </x:c>
      <x:c r="K12" s="25" t="str">
        <x:v>هناء الماجد</x:v>
      </x:c>
      <x:c r="L12" s="25" t="str">
        <x:v>يرغب بملف المشاريع المتأهلة.</x:v>
      </x:c>
    </x:row>
    <x:row r="13" ht="55" customHeight="1">
      <x:c r="A13" s="30" t="str"/>
      <x:c r="B13" s="25" t="str">
        <x:v>مستثمرة استراتيجية</x:v>
      </x:c>
      <x:c r="C13" s="25" t="str">
        <x:v>هالة الرشيد</x:v>
      </x:c>
      <x:c r="D13" s="25" t="str">
        <x:v>رئيسة الشراكات الاستثمارية</x:v>
      </x:c>
      <x:c r="E13" s="25" t="str">
        <x:v>حلول الرعاية القائمة على القيمة</x:v>
      </x:c>
      <x:c r="F13" s="25" t="str">
        <x:v>المستثمرون – يوم العروض</x:v>
      </x:c>
      <x:c r="G13" s="28" t="str">
        <x:v>05XX-XXX-0008</x:v>
      </x:c>
      <x:c r="H13" s="28" t="str">
        <x:v>inv08@example.com</x:v>
      </x:c>
      <x:c r="I13" s="25" t="str">
        <x:v>بانتظار التأكيد</x:v>
      </x:c>
      <x:c r="J13" s="25" t="str">
        <x:v>نادر الحربي</x:v>
      </x:c>
      <x:c r="K13" s="25" t="str">
        <x:v>سامي الوهيبي</x:v>
      </x:c>
      <x:c r="L13" s="25" t="str">
        <x:v>تنسيق مقابلة قصيرة مع الفرق.</x:v>
      </x:c>
    </x:row>
    <x:row r="14" ht="55" customHeight="1">
      <x:c r="A14" s="30" t="str"/>
      <x:c r="B14" s="25" t="str">
        <x:v>مستثمر ملائكي</x:v>
      </x:c>
      <x:c r="C14" s="25" t="str">
        <x:v>راشد الغانم</x:v>
      </x:c>
      <x:c r="D14" s="25" t="str">
        <x:v>مستثمر مستقل</x:v>
      </x:c>
      <x:c r="E14" s="25" t="str">
        <x:v>الذكاء الاصطناعي الطبي</x:v>
      </x:c>
      <x:c r="F14" s="25" t="str">
        <x:v>المستثمرون – يوم العروض</x:v>
      </x:c>
      <x:c r="G14" s="28" t="str">
        <x:v>05XX-XXX-0009</x:v>
      </x:c>
      <x:c r="H14" s="28" t="str">
        <x:v>inv09@example.com</x:v>
      </x:c>
      <x:c r="I14" s="25" t="str">
        <x:v>مؤكد</x:v>
      </x:c>
      <x:c r="J14" s="25" t="str">
        <x:v>نادر الحربي</x:v>
      </x:c>
      <x:c r="K14" s="25" t="str">
        <x:v>ريم السهلي</x:v>
      </x:c>
      <x:c r="L14" s="25" t="str">
        <x:v>الرجاء مراجعة وقت الوصول.</x:v>
      </x:c>
    </x:row>
    <x:row r="15" ht="55" customHeight="1">
      <x:c r="A15" s="30" t="str"/>
      <x:c r="B15" s="25" t="str">
        <x:v>ممثلة شركة استثمار</x:v>
      </x:c>
      <x:c r="C15" s="25" t="str">
        <x:v>دانة اليامي</x:v>
      </x:c>
      <x:c r="D15" s="25" t="str">
        <x:v>مديرة الابتكار الاستثماري</x:v>
      </x:c>
      <x:c r="E15" s="25" t="str">
        <x:v>التوسع التجاري للصحة الرقمية</x:v>
      </x:c>
      <x:c r="F15" s="25" t="str">
        <x:v>المستثمرون – يوم العروض</x:v>
      </x:c>
      <x:c r="G15" s="28" t="str">
        <x:v>05XX-XXX-0010</x:v>
      </x:c>
      <x:c r="H15" s="28" t="str">
        <x:v>inv10@example.com</x:v>
      </x:c>
      <x:c r="I15" s="25" t="str">
        <x:v>اعتذر</x:v>
      </x:c>
      <x:c r="J15" s="25" t="str">
        <x:v>نادر الحربي</x:v>
      </x:c>
      <x:c r="K15" s="25" t="str">
        <x:v>هناء الماجد</x:v>
      </x:c>
      <x:c r="L15" s="25" t="str">
        <x:v>اعتذار تجريبي لاختبار الحالات.</x:v>
      </x:c>
    </x:row>
    <x:row r="16" ht="55" customHeight="1">
      <x:c r="A16" s="30" t="str"/>
      <x:c r="B16" s="25" t="str">
        <x:v>محكمة دولية</x:v>
      </x:c>
      <x:c r="C16" s="25" t="str">
        <x:v>إميليا كارتر</x:v>
      </x:c>
      <x:c r="D16" s="25" t="str">
        <x:v>خبيرة تقييم ابتكارات صحية</x:v>
      </x:c>
      <x:c r="E16" s="25" t="str">
        <x:v>الابتكار الطبي وريادة الأعمال</x:v>
      </x:c>
      <x:c r="F16" s="25" t="str">
        <x:v>المحكمون الدوليون</x:v>
      </x:c>
      <x:c r="G16" s="28" t="str">
        <x:v>05XX-XXX-0011</x:v>
      </x:c>
      <x:c r="H16" s="28" t="str">
        <x:v>ij01@example.com</x:v>
      </x:c>
      <x:c r="I16" s="25" t="str">
        <x:v>مؤكد</x:v>
      </x:c>
      <x:c r="J16" s="25" t="str">
        <x:v>سارة الماجد</x:v>
      </x:c>
      <x:c r="K16" s="25" t="str">
        <x:v>عمر العيسى</x:v>
      </x:c>
      <x:c r="L16" s="25" t="str">
        <x:v>تحتاج إرشادات الوصول باللغة الإنجليزية.</x:v>
      </x:c>
    </x:row>
    <x:row r="17" ht="55" customHeight="1">
      <x:c r="A17" s="30" t="str"/>
      <x:c r="B17" s="25" t="str">
        <x:v>محكم دولي</x:v>
      </x:c>
      <x:c r="C17" s="25" t="str">
        <x:v>دانيال ريفرز</x:v>
      </x:c>
      <x:c r="D17" s="25" t="str">
        <x:v>استشاري تقييم تقنيات طبية</x:v>
      </x:c>
      <x:c r="E17" s="25" t="str">
        <x:v>الأجهزة الطبية وسلامة المرضى</x:v>
      </x:c>
      <x:c r="F17" s="25" t="str">
        <x:v>المحكمون الدوليون</x:v>
      </x:c>
      <x:c r="G17" s="28" t="str">
        <x:v>05XX-XXX-0012</x:v>
      </x:c>
      <x:c r="H17" s="28" t="str">
        <x:v>ij02@example.com</x:v>
      </x:c>
      <x:c r="I17" s="25" t="str">
        <x:v>مؤكد</x:v>
      </x:c>
      <x:c r="J17" s="25" t="str">
        <x:v>سارة الماجد</x:v>
      </x:c>
      <x:c r="K17" s="25" t="str">
        <x:v>لُجين المرزوق</x:v>
      </x:c>
      <x:c r="L17" s="25" t="str">
        <x:v>تجهيز جدول التحكيم.</x:v>
      </x:c>
    </x:row>
    <x:row r="18" ht="55" customHeight="1">
      <x:c r="A18" s="30" t="str"/>
      <x:c r="B18" s="25" t="str">
        <x:v>محكمة دولية</x:v>
      </x:c>
      <x:c r="C18" s="25" t="str">
        <x:v>صوفيا مارتن</x:v>
      </x:c>
      <x:c r="D18" s="25" t="str">
        <x:v>باحثة في علوم البيانات الصحية</x:v>
      </x:c>
      <x:c r="E18" s="25" t="str">
        <x:v>الذكاء الاصطناعي الصحي</x:v>
      </x:c>
      <x:c r="F18" s="25" t="str">
        <x:v>المحكمون الدوليون</x:v>
      </x:c>
      <x:c r="G18" s="28" t="str">
        <x:v>05XX-XXX-0013</x:v>
      </x:c>
      <x:c r="H18" s="28" t="str">
        <x:v>ij03@example.com</x:v>
      </x:c>
      <x:c r="I18" s="25" t="str">
        <x:v>بانتظار التأكيد</x:v>
      </x:c>
      <x:c r="J18" s="25" t="str">
        <x:v>سارة الماجد</x:v>
      </x:c>
      <x:c r="K18" s="25" t="str">
        <x:v>عبدالإله الشمري</x:v>
      </x:c>
      <x:c r="L18" s="25" t="str">
        <x:v>ترجمة تعريف الفرق إلى الإنجليزية.</x:v>
      </x:c>
    </x:row>
    <x:row r="19" ht="55" customHeight="1">
      <x:c r="A19" s="30" t="str"/>
      <x:c r="B19" s="25" t="str">
        <x:v>محكم دولي</x:v>
      </x:c>
      <x:c r="C19" s="25" t="str">
        <x:v>ماتيو روسي</x:v>
      </x:c>
      <x:c r="D19" s="25" t="str">
        <x:v>خبير مشاريع ناشئة</x:v>
      </x:c>
      <x:c r="E19" s="25" t="str">
        <x:v>الجدوى التجارية للتقنية الطبية</x:v>
      </x:c>
      <x:c r="F19" s="25" t="str">
        <x:v>المحكمون الدوليون</x:v>
      </x:c>
      <x:c r="G19" s="28" t="str">
        <x:v>05XX-XXX-0014</x:v>
      </x:c>
      <x:c r="H19" s="28" t="str">
        <x:v>ij04@example.com</x:v>
      </x:c>
      <x:c r="I19" s="25" t="str">
        <x:v>مؤكد</x:v>
      </x:c>
      <x:c r="J19" s="25" t="str">
        <x:v>سارة الماجد</x:v>
      </x:c>
      <x:c r="K19" s="25" t="str">
        <x:v>عمر العيسى</x:v>
      </x:c>
      <x:c r="L19" s="25" t="str">
        <x:v>التأكيد على توقيت لجنة التحكيم.</x:v>
      </x:c>
    </x:row>
    <x:row r="20" ht="55" customHeight="1">
      <x:c r="A20" s="30" t="str"/>
      <x:c r="B20" s="25" t="str">
        <x:v>محكمة دولية</x:v>
      </x:c>
      <x:c r="C20" s="25" t="str">
        <x:v>ناومي تايلور</x:v>
      </x:c>
      <x:c r="D20" s="25" t="str">
        <x:v>مستشارة ابتكار صحي</x:v>
      </x:c>
      <x:c r="E20" s="25" t="str">
        <x:v>تصميم الحلول المرتكزة على المريض</x:v>
      </x:c>
      <x:c r="F20" s="25" t="str">
        <x:v>المحكمون الدوليون</x:v>
      </x:c>
      <x:c r="G20" s="28" t="str">
        <x:v>05XX-XXX-0015</x:v>
      </x:c>
      <x:c r="H20" s="28" t="str">
        <x:v>ij05@example.com</x:v>
      </x:c>
      <x:c r="I20" s="25" t="str">
        <x:v>قيد التنسيق</x:v>
      </x:c>
      <x:c r="J20" s="25" t="str">
        <x:v>سارة الماجد</x:v>
      </x:c>
      <x:c r="K20" s="25" t="str">
        <x:v>لُجين المرزوق</x:v>
      </x:c>
      <x:c r="L20" s="25" t="str">
        <x:v>تحتاج مرافقًا عند الوصول.</x:v>
      </x:c>
    </x:row>
    <x:row r="21" ht="55" customHeight="1">
      <x:c r="A21" s="30" t="str"/>
      <x:c r="B21" s="25" t="str">
        <x:v>محكم دولي</x:v>
      </x:c>
      <x:c r="C21" s="25" t="str">
        <x:v>آدم لوران</x:v>
      </x:c>
      <x:c r="D21" s="25" t="str">
        <x:v>أستاذ تقنيات رقمية افتراضي</x:v>
      </x:c>
      <x:c r="E21" s="25" t="str">
        <x:v>حوكمة البيانات والخصوصية</x:v>
      </x:c>
      <x:c r="F21" s="25" t="str">
        <x:v>المحكمون الدوليون</x:v>
      </x:c>
      <x:c r="G21" s="28" t="str">
        <x:v>05XX-XXX-0016</x:v>
      </x:c>
      <x:c r="H21" s="28" t="str">
        <x:v>ij06@example.com</x:v>
      </x:c>
      <x:c r="I21" s="25" t="str">
        <x:v>مؤكد</x:v>
      </x:c>
      <x:c r="J21" s="25" t="str">
        <x:v>سارة الماجد</x:v>
      </x:c>
      <x:c r="K21" s="25" t="str">
        <x:v>عبدالإله الشمري</x:v>
      </x:c>
      <x:c r="L21" s="25" t="str">
        <x:v>توفير اتصال إنترنت للاجتماعات.</x:v>
      </x:c>
    </x:row>
    <x:row r="22" ht="55" customHeight="1">
      <x:c r="A22" s="30" t="str"/>
      <x:c r="B22" s="25" t="str">
        <x:v>محكمة دولية</x:v>
      </x:c>
      <x:c r="C22" s="25" t="str">
        <x:v>كلارا فيشر</x:v>
      </x:c>
      <x:c r="D22" s="25" t="str">
        <x:v>خبيرة انتقال البحوث للسوق</x:v>
      </x:c>
      <x:c r="E22" s="25" t="str">
        <x:v>نقل التقنية وبراءات الاختراع</x:v>
      </x:c>
      <x:c r="F22" s="25" t="str">
        <x:v>المحكمون الدوليون</x:v>
      </x:c>
      <x:c r="G22" s="28" t="str">
        <x:v>05XX-XXX-0017</x:v>
      </x:c>
      <x:c r="H22" s="28" t="str">
        <x:v>ij07@example.com</x:v>
      </x:c>
      <x:c r="I22" s="25" t="str">
        <x:v>مؤكد</x:v>
      </x:c>
      <x:c r="J22" s="25" t="str">
        <x:v>سارة الماجد</x:v>
      </x:c>
      <x:c r="K22" s="25" t="str">
        <x:v>عمر العيسى</x:v>
      </x:c>
      <x:c r="L22" s="25" t="str">
        <x:v>تطلب ملف معايير التقييم.</x:v>
      </x:c>
    </x:row>
    <x:row r="23" ht="55" customHeight="1">
      <x:c r="A23" s="30" t="str"/>
      <x:c r="B23" s="25" t="str">
        <x:v>محكم دولي</x:v>
      </x:c>
      <x:c r="C23" s="25" t="str">
        <x:v>يوسف حداد</x:v>
      </x:c>
      <x:c r="D23" s="25" t="str">
        <x:v>خبير صحة عامة دولي</x:v>
      </x:c>
      <x:c r="E23" s="25" t="str">
        <x:v>الأثر الصحي وتقييم التدخلات</x:v>
      </x:c>
      <x:c r="F23" s="25" t="str">
        <x:v>المحكمون الدوليون</x:v>
      </x:c>
      <x:c r="G23" s="28" t="str">
        <x:v>05XX-XXX-0018</x:v>
      </x:c>
      <x:c r="H23" s="28" t="str">
        <x:v>ij08@example.com</x:v>
      </x:c>
      <x:c r="I23" s="25" t="str">
        <x:v>بانتظار التأكيد</x:v>
      </x:c>
      <x:c r="J23" s="25" t="str">
        <x:v>سارة الماجد</x:v>
      </x:c>
      <x:c r="K23" s="25" t="str">
        <x:v>لُجين المرزوق</x:v>
      </x:c>
      <x:c r="L23" s="25" t="str">
        <x:v>تحديد نقطة اللقاء في صالة الضيوف.</x:v>
      </x:c>
    </x:row>
    <x:row r="24" ht="55" customHeight="1">
      <x:c r="A24" s="30" t="str"/>
      <x:c r="B24" s="25" t="str">
        <x:v>محكمة دولية</x:v>
      </x:c>
      <x:c r="C24" s="25" t="str">
        <x:v>لينا هانسن</x:v>
      </x:c>
      <x:c r="D24" s="25" t="str">
        <x:v>قائدة تطوير المنتجات الطبية</x:v>
      </x:c>
      <x:c r="E24" s="25" t="str">
        <x:v>المنتجات الطبية وتجربة المستخدم</x:v>
      </x:c>
      <x:c r="F24" s="25" t="str">
        <x:v>المحكمون الدوليون</x:v>
      </x:c>
      <x:c r="G24" s="28" t="str">
        <x:v>05XX-XXX-0019</x:v>
      </x:c>
      <x:c r="H24" s="28" t="str">
        <x:v>ij09@example.com</x:v>
      </x:c>
      <x:c r="I24" s="25" t="str">
        <x:v>مؤكد</x:v>
      </x:c>
      <x:c r="J24" s="25" t="str">
        <x:v>سارة الماجد</x:v>
      </x:c>
      <x:c r="K24" s="25" t="str">
        <x:v>عبدالإله الشمري</x:v>
      </x:c>
      <x:c r="L24" s="25" t="str">
        <x:v>يفضل مقعد قريب من المنصة.</x:v>
      </x:c>
    </x:row>
    <x:row r="25" ht="55" customHeight="1">
      <x:c r="A25" s="30" t="str"/>
      <x:c r="B25" s="25" t="str">
        <x:v>محكم دولي</x:v>
      </x:c>
      <x:c r="C25" s="25" t="str">
        <x:v>إلياس مورينو</x:v>
      </x:c>
      <x:c r="D25" s="25" t="str">
        <x:v>مستشار نظم صحية</x:v>
      </x:c>
      <x:c r="E25" s="25" t="str">
        <x:v>تقييم الأنظمة الصحية</x:v>
      </x:c>
      <x:c r="F25" s="25" t="str">
        <x:v>المحكمون الدوليون</x:v>
      </x:c>
      <x:c r="G25" s="28" t="str">
        <x:v>05XX-XXX-0020</x:v>
      </x:c>
      <x:c r="H25" s="28" t="str">
        <x:v>ij10@example.com</x:v>
      </x:c>
      <x:c r="I25" s="25" t="str">
        <x:v>اعتذر</x:v>
      </x:c>
      <x:c r="J25" s="25" t="str">
        <x:v>سارة الماجد</x:v>
      </x:c>
      <x:c r="K25" s="25" t="str">
        <x:v>عمر العيسى</x:v>
      </x:c>
      <x:c r="L25" s="25" t="str">
        <x:v>اعتذار تجريبي لاختبار البديل.</x:v>
      </x:c>
    </x:row>
    <x:row r="26" ht="55" customHeight="1">
      <x:c r="A26" s="30" t="str"/>
      <x:c r="B26" s="25" t="str">
        <x:v>مرشدة سريرية</x:v>
      </x:c>
      <x:c r="C26" s="25" t="str">
        <x:v>عبير القحطاني</x:v>
      </x:c>
      <x:c r="D26" s="25" t="str">
        <x:v>أخصائية ابتكار سريري</x:v>
      </x:c>
      <x:c r="E26" s="25" t="str">
        <x:v>الاحتياجات السريرية وسلامة المرضى</x:v>
      </x:c>
      <x:c r="F26" s="25" t="str">
        <x:v>المرشدون</x:v>
      </x:c>
      <x:c r="G26" s="28" t="str">
        <x:v>05XX-XXX-0021</x:v>
      </x:c>
      <x:c r="H26" s="28" t="str">
        <x:v>mnt01@example.com</x:v>
      </x:c>
      <x:c r="I26" s="25" t="str">
        <x:v>مؤكد</x:v>
      </x:c>
      <x:c r="J26" s="25" t="str">
        <x:v>فيصل اليامي</x:v>
      </x:c>
      <x:c r="K26" s="25" t="str">
        <x:v>خولة الشهري</x:v>
      </x:c>
      <x:c r="L26" s="25" t="str">
        <x:v>تغطية الفترة الصباحية.</x:v>
      </x:c>
    </x:row>
    <x:row r="27" ht="55" customHeight="1">
      <x:c r="A27" s="30" t="str"/>
      <x:c r="B27" s="25" t="str">
        <x:v>مرشد تقني</x:v>
      </x:c>
      <x:c r="C27" s="25" t="str">
        <x:v>تركي السهلي</x:v>
      </x:c>
      <x:c r="D27" s="25" t="str">
        <x:v>مهندس تعلم آلي</x:v>
      </x:c>
      <x:c r="E27" s="25" t="str">
        <x:v>الذكاء الاصطناعي والنماذج التنبؤية</x:v>
      </x:c>
      <x:c r="F27" s="25" t="str">
        <x:v>المرشدون</x:v>
      </x:c>
      <x:c r="G27" s="28" t="str">
        <x:v>05XX-XXX-0022</x:v>
      </x:c>
      <x:c r="H27" s="28" t="str">
        <x:v>mnt02@example.com</x:v>
      </x:c>
      <x:c r="I27" s="25" t="str">
        <x:v>مؤكد</x:v>
      </x:c>
      <x:c r="J27" s="25" t="str">
        <x:v>فيصل اليامي</x:v>
      </x:c>
      <x:c r="K27" s="25" t="str">
        <x:v>محمد الربيع</x:v>
      </x:c>
      <x:c r="L27" s="25" t="str">
        <x:v>مخصص لفرق مسار الإنذار المبكر.</x:v>
      </x:c>
    </x:row>
    <x:row r="28" ht="55" customHeight="1">
      <x:c r="A28" s="30" t="str"/>
      <x:c r="B28" s="25" t="str">
        <x:v>مرشدة بحثية</x:v>
      </x:c>
      <x:c r="C28" s="25" t="str">
        <x:v>مي البدر</x:v>
      </x:c>
      <x:c r="D28" s="25" t="str">
        <x:v>باحثة صحة عامة</x:v>
      </x:c>
      <x:c r="E28" s="25" t="str">
        <x:v>تصميم الدراسات وتقييم الأثر</x:v>
      </x:c>
      <x:c r="F28" s="25" t="str">
        <x:v>المرشدون</x:v>
      </x:c>
      <x:c r="G28" s="28" t="str">
        <x:v>05XX-XXX-0023</x:v>
      </x:c>
      <x:c r="H28" s="28" t="str">
        <x:v>mnt03@example.com</x:v>
      </x:c>
      <x:c r="I28" s="25" t="str">
        <x:v>بانتظار التأكيد</x:v>
      </x:c>
      <x:c r="J28" s="25" t="str">
        <x:v>فيصل اليامي</x:v>
      </x:c>
      <x:c r="K28" s="25" t="str">
        <x:v>غادة المطيري</x:v>
      </x:c>
      <x:c r="L28" s="25" t="str">
        <x:v>تقديم إرشاد منهجي.</x:v>
      </x:c>
    </x:row>
    <x:row r="29" ht="55" customHeight="1">
      <x:c r="A29" s="30" t="str"/>
      <x:c r="B29" s="25" t="str">
        <x:v>مرشد هندسي</x:v>
      </x:c>
      <x:c r="C29" s="25" t="str">
        <x:v>بدر الصالح</x:v>
      </x:c>
      <x:c r="D29" s="25" t="str">
        <x:v>مهندس أجهزة طبية</x:v>
      </x:c>
      <x:c r="E29" s="25" t="str">
        <x:v>النماذج الأولية والمستشعرات</x:v>
      </x:c>
      <x:c r="F29" s="25" t="str">
        <x:v>المرشدون</x:v>
      </x:c>
      <x:c r="G29" s="28" t="str">
        <x:v>05XX-XXX-0024</x:v>
      </x:c>
      <x:c r="H29" s="28" t="str">
        <x:v>mnt04@example.com</x:v>
      </x:c>
      <x:c r="I29" s="25" t="str">
        <x:v>مؤكد</x:v>
      </x:c>
      <x:c r="J29" s="25" t="str">
        <x:v>فيصل اليامي</x:v>
      </x:c>
      <x:c r="K29" s="25" t="str">
        <x:v>خولة الشهري</x:v>
      </x:c>
      <x:c r="L29" s="25" t="str">
        <x:v>بحاجة إلى نقطة عمل داخل المعرض.</x:v>
      </x:c>
    </x:row>
    <x:row r="30" ht="55" customHeight="1">
      <x:c r="A30" s="30" t="str"/>
      <x:c r="B30" s="25" t="str">
        <x:v>مرشدة أعمال</x:v>
      </x:c>
      <x:c r="C30" s="25" t="str">
        <x:v>رزان القحطاني</x:v>
      </x:c>
      <x:c r="D30" s="25" t="str">
        <x:v>مستشارة استراتيجيات ناشئة</x:v>
      </x:c>
      <x:c r="E30" s="25" t="str">
        <x:v>نماذج الأعمال ودراسة السوق</x:v>
      </x:c>
      <x:c r="F30" s="25" t="str">
        <x:v>المرشدون</x:v>
      </x:c>
      <x:c r="G30" s="28" t="str">
        <x:v>05XX-XXX-0025</x:v>
      </x:c>
      <x:c r="H30" s="28" t="str">
        <x:v>mnt05@example.com</x:v>
      </x:c>
      <x:c r="I30" s="25" t="str">
        <x:v>قيد التنسيق</x:v>
      </x:c>
      <x:c r="J30" s="25" t="str">
        <x:v>فيصل اليامي</x:v>
      </x:c>
      <x:c r="K30" s="25" t="str">
        <x:v>محمد الربيع</x:v>
      </x:c>
      <x:c r="L30" s="25" t="str">
        <x:v>تغطية فترة ما بعد الظهر.</x:v>
      </x:c>
    </x:row>
    <x:row r="31" ht="55" customHeight="1">
      <x:c r="A31" s="30" t="str"/>
      <x:c r="B31" s="25" t="str">
        <x:v>مرشد امتثال</x:v>
      </x:c>
      <x:c r="C31" s="25" t="str">
        <x:v>معاذ الشهري</x:v>
      </x:c>
      <x:c r="D31" s="25" t="str">
        <x:v>مستشار جودة وتنظيم</x:v>
      </x:c>
      <x:c r="E31" s="25" t="str">
        <x:v>المتطلبات التنظيمية للأجهزة الطبية</x:v>
      </x:c>
      <x:c r="F31" s="25" t="str">
        <x:v>المرشدون</x:v>
      </x:c>
      <x:c r="G31" s="28" t="str">
        <x:v>05XX-XXX-0026</x:v>
      </x:c>
      <x:c r="H31" s="28" t="str">
        <x:v>mnt06@example.com</x:v>
      </x:c>
      <x:c r="I31" s="25" t="str">
        <x:v>مؤكد</x:v>
      </x:c>
      <x:c r="J31" s="25" t="str">
        <x:v>فيصل اليامي</x:v>
      </x:c>
      <x:c r="K31" s="25" t="str">
        <x:v>غادة المطيري</x:v>
      </x:c>
      <x:c r="L31" s="25" t="str">
        <x:v>جلسة مراجعة قصيرة للفرق.</x:v>
      </x:c>
    </x:row>
    <x:row r="32" ht="55" customHeight="1">
      <x:c r="A32" s="30" t="str"/>
      <x:c r="B32" s="25" t="str">
        <x:v>مرشدة تصميم</x:v>
      </x:c>
      <x:c r="C32" s="25" t="str">
        <x:v>شهد القاسم</x:v>
      </x:c>
      <x:c r="D32" s="25" t="str">
        <x:v>مصممة تجربة مستخدم</x:v>
      </x:c>
      <x:c r="E32" s="25" t="str">
        <x:v>تجربة المريض والتصميم الخدمي</x:v>
      </x:c>
      <x:c r="F32" s="25" t="str">
        <x:v>المرشدون</x:v>
      </x:c>
      <x:c r="G32" s="28" t="str">
        <x:v>05XX-XXX-0027</x:v>
      </x:c>
      <x:c r="H32" s="28" t="str">
        <x:v>mnt07@example.com</x:v>
      </x:c>
      <x:c r="I32" s="25" t="str">
        <x:v>مؤكد</x:v>
      </x:c>
      <x:c r="J32" s="25" t="str">
        <x:v>فيصل اليامي</x:v>
      </x:c>
      <x:c r="K32" s="25" t="str">
        <x:v>خولة الشهري</x:v>
      </x:c>
      <x:c r="L32" s="25" t="str">
        <x:v>مراجعة نماذج العرض.</x:v>
      </x:c>
    </x:row>
    <x:row r="33" ht="55" customHeight="1">
      <x:c r="A33" s="30" t="str"/>
      <x:c r="B33" s="25" t="str">
        <x:v>مرشد بيانات</x:v>
      </x:c>
      <x:c r="C33" s="25" t="str">
        <x:v>وليد العبداللطيف</x:v>
      </x:c>
      <x:c r="D33" s="25" t="str">
        <x:v>مهندس بيانات</x:v>
      </x:c>
      <x:c r="E33" s="25" t="str">
        <x:v>البنية السحابية وتكامل البيانات</x:v>
      </x:c>
      <x:c r="F33" s="25" t="str">
        <x:v>المرشدون</x:v>
      </x:c>
      <x:c r="G33" s="28" t="str">
        <x:v>05XX-XXX-0028</x:v>
      </x:c>
      <x:c r="H33" s="28" t="str">
        <x:v>mnt08@example.com</x:v>
      </x:c>
      <x:c r="I33" s="25" t="str">
        <x:v>بانتظار التأكيد</x:v>
      </x:c>
      <x:c r="J33" s="25" t="str">
        <x:v>فيصل اليامي</x:v>
      </x:c>
      <x:c r="K33" s="25" t="str">
        <x:v>محمد الربيع</x:v>
      </x:c>
      <x:c r="L33" s="25" t="str">
        <x:v>التنسيق مع اللجنة التقنية.</x:v>
      </x:c>
    </x:row>
    <x:row r="34" ht="55" customHeight="1">
      <x:c r="A34" s="30" t="str"/>
      <x:c r="B34" s="25" t="str">
        <x:v>مرشدة ريادة أعمال</x:v>
      </x:c>
      <x:c r="C34" s="25" t="str">
        <x:v>أروى الحربي</x:v>
      </x:c>
      <x:c r="D34" s="25" t="str">
        <x:v>مستشارة تطوير مشاريع</x:v>
      </x:c>
      <x:c r="E34" s="25" t="str">
        <x:v>التسويق والتحقق من المشكلة</x:v>
      </x:c>
      <x:c r="F34" s="25" t="str">
        <x:v>المرشدون</x:v>
      </x:c>
      <x:c r="G34" s="28" t="str">
        <x:v>05XX-XXX-0029</x:v>
      </x:c>
      <x:c r="H34" s="28" t="str">
        <x:v>mnt09@example.com</x:v>
      </x:c>
      <x:c r="I34" s="25" t="str">
        <x:v>مؤكد</x:v>
      </x:c>
      <x:c r="J34" s="25" t="str">
        <x:v>فيصل اليامي</x:v>
      </x:c>
      <x:c r="K34" s="25" t="str">
        <x:v>غادة المطيري</x:v>
      </x:c>
      <x:c r="L34" s="25" t="str">
        <x:v>طلب قائمة الفرق قبل المناوبة.</x:v>
      </x:c>
    </x:row>
    <x:row r="35" ht="55" customHeight="1">
      <x:c r="A35" s="30" t="str"/>
      <x:c r="B35" s="25" t="str">
        <x:v>مرشد أمن معلومات</x:v>
      </x:c>
      <x:c r="C35" s="25" t="str">
        <x:v>نايف الزهراني</x:v>
      </x:c>
      <x:c r="D35" s="25" t="str">
        <x:v>مختص أمن سيبراني</x:v>
      </x:c>
      <x:c r="E35" s="25" t="str">
        <x:v>أمن المعلومات في التطبيقات الصحية</x:v>
      </x:c>
      <x:c r="F35" s="25" t="str">
        <x:v>المرشدون</x:v>
      </x:c>
      <x:c r="G35" s="28" t="str">
        <x:v>05XX-XXX-0030</x:v>
      </x:c>
      <x:c r="H35" s="28" t="str">
        <x:v>mnt10@example.com</x:v>
      </x:c>
      <x:c r="I35" s="25" t="str">
        <x:v>اعتذر</x:v>
      </x:c>
      <x:c r="J35" s="25" t="str">
        <x:v>فيصل اليامي</x:v>
      </x:c>
      <x:c r="K35" s="25" t="str">
        <x:v>خولة الشهري</x:v>
      </x:c>
      <x:c r="L35" s="25" t="str">
        <x:v>اعتذار تجريبي لاختبار البدائل.</x:v>
      </x:c>
    </x:row>
    <x:row r="36" ht="55" customHeight="1">
      <x:c r="A36" s="30" t="str"/>
      <x:c r="B36" s="25" t="str">
        <x:v>محكم معرض</x:v>
      </x:c>
      <x:c r="C36" s="25" t="str">
        <x:v>هيثم البدر</x:v>
      </x:c>
      <x:c r="D36" s="25" t="str">
        <x:v>خبير تصميم حلول ابتكارية</x:v>
      </x:c>
      <x:c r="E36" s="25" t="str">
        <x:v>أصالة الفكرة وقابلية التطبيق</x:v>
      </x:c>
      <x:c r="F36" s="25" t="str">
        <x:v>محكمو معرض الابتكار</x:v>
      </x:c>
      <x:c r="G36" s="28" t="str">
        <x:v>05XX-XXX-0031</x:v>
      </x:c>
      <x:c r="H36" s="28" t="str">
        <x:v>exj01@example.com</x:v>
      </x:c>
      <x:c r="I36" s="25" t="str">
        <x:v>مؤكد</x:v>
      </x:c>
      <x:c r="J36" s="25" t="str">
        <x:v>مي العبدالله</x:v>
      </x:c>
      <x:c r="K36" s="25" t="str">
        <x:v>يزن الرشيد</x:v>
      </x:c>
      <x:c r="L36" s="25" t="str">
        <x:v>الجولة الأولى للأجنحة 1–4.</x:v>
      </x:c>
    </x:row>
    <x:row r="37" ht="55" customHeight="1">
      <x:c r="A37" s="30" t="str"/>
      <x:c r="B37" s="25" t="str">
        <x:v>محكمة معرض</x:v>
      </x:c>
      <x:c r="C37" s="25" t="str">
        <x:v>سلوى القحطاني</x:v>
      </x:c>
      <x:c r="D37" s="25" t="str">
        <x:v>أخصائية سلامة مرضى</x:v>
      </x:c>
      <x:c r="E37" s="25" t="str">
        <x:v>الأثر على سلامة المرضى</x:v>
      </x:c>
      <x:c r="F37" s="25" t="str">
        <x:v>محكمو معرض الابتكار</x:v>
      </x:c>
      <x:c r="G37" s="28" t="str">
        <x:v>05XX-XXX-0032</x:v>
      </x:c>
      <x:c r="H37" s="28" t="str">
        <x:v>exj02@example.com</x:v>
      </x:c>
      <x:c r="I37" s="25" t="str">
        <x:v>مؤكد</x:v>
      </x:c>
      <x:c r="J37" s="25" t="str">
        <x:v>مي العبدالله</x:v>
      </x:c>
      <x:c r="K37" s="25" t="str">
        <x:v>الجوهرة الشهري</x:v>
      </x:c>
      <x:c r="L37" s="25" t="str">
        <x:v>ترغب في نسخة معايير التقييم.</x:v>
      </x:c>
    </x:row>
    <x:row r="38" ht="55" customHeight="1">
      <x:c r="A38" s="30" t="str"/>
      <x:c r="B38" s="25" t="str">
        <x:v>محكم معرض</x:v>
      </x:c>
      <x:c r="C38" s="25" t="str">
        <x:v>حسان الجهني</x:v>
      </x:c>
      <x:c r="D38" s="25" t="str">
        <x:v>خبير أجهزة ذكية</x:v>
      </x:c>
      <x:c r="E38" s="25" t="str">
        <x:v>جودة النموذج الأولي</x:v>
      </x:c>
      <x:c r="F38" s="25" t="str">
        <x:v>محكمو معرض الابتكار</x:v>
      </x:c>
      <x:c r="G38" s="28" t="str">
        <x:v>05XX-XXX-0033</x:v>
      </x:c>
      <x:c r="H38" s="28" t="str">
        <x:v>exj03@example.com</x:v>
      </x:c>
      <x:c r="I38" s="25" t="str">
        <x:v>بانتظار التأكيد</x:v>
      </x:c>
      <x:c r="J38" s="25" t="str">
        <x:v>مي العبدالله</x:v>
      </x:c>
      <x:c r="K38" s="25" t="str">
        <x:v>فيصل العسيري</x:v>
      </x:c>
      <x:c r="L38" s="25" t="str">
        <x:v>الأجنحة 5–8.</x:v>
      </x:c>
    </x:row>
    <x:row r="39" ht="55" customHeight="1">
      <x:c r="A39" s="30" t="str"/>
      <x:c r="B39" s="25" t="str">
        <x:v>محكمة معرض</x:v>
      </x:c>
      <x:c r="C39" s="25" t="str">
        <x:v>ريم الحارثي</x:v>
      </x:c>
      <x:c r="D39" s="25" t="str">
        <x:v>مستشارة ابتكار صحي</x:v>
      </x:c>
      <x:c r="E39" s="25" t="str">
        <x:v>الأثر السريري للحلول</x:v>
      </x:c>
      <x:c r="F39" s="25" t="str">
        <x:v>محكمو معرض الابتكار</x:v>
      </x:c>
      <x:c r="G39" s="28" t="str">
        <x:v>05XX-XXX-0034</x:v>
      </x:c>
      <x:c r="H39" s="28" t="str">
        <x:v>exj04@example.com</x:v>
      </x:c>
      <x:c r="I39" s="25" t="str">
        <x:v>مؤكد</x:v>
      </x:c>
      <x:c r="J39" s="25" t="str">
        <x:v>مي العبدالله</x:v>
      </x:c>
      <x:c r="K39" s="25" t="str">
        <x:v>يزن الرشيد</x:v>
      </x:c>
      <x:c r="L39" s="25" t="str">
        <x:v>بحاجة إلى تعريف بمواقع الأجنحة.</x:v>
      </x:c>
    </x:row>
    <x:row r="40" ht="55" customHeight="1">
      <x:c r="A40" s="30" t="str"/>
      <x:c r="B40" s="25" t="str">
        <x:v>محكم معرض</x:v>
      </x:c>
      <x:c r="C40" s="25" t="str">
        <x:v>مازن التركي</x:v>
      </x:c>
      <x:c r="D40" s="25" t="str">
        <x:v>باحث هندسة حيوية</x:v>
      </x:c>
      <x:c r="E40" s="25" t="str">
        <x:v>منهجية التحقق والتجارب</x:v>
      </x:c>
      <x:c r="F40" s="25" t="str">
        <x:v>محكمو معرض الابتكار</x:v>
      </x:c>
      <x:c r="G40" s="28" t="str">
        <x:v>05XX-XXX-0035</x:v>
      </x:c>
      <x:c r="H40" s="28" t="str">
        <x:v>exj05@example.com</x:v>
      </x:c>
      <x:c r="I40" s="25" t="str">
        <x:v>قيد التنسيق</x:v>
      </x:c>
      <x:c r="J40" s="25" t="str">
        <x:v>مي العبدالله</x:v>
      </x:c>
      <x:c r="K40" s="25" t="str">
        <x:v>الجوهرة الشهري</x:v>
      </x:c>
      <x:c r="L40" s="25" t="str">
        <x:v>مراجعة الأدلة الأولية.</x:v>
      </x:c>
    </x:row>
    <x:row r="41" ht="55" customHeight="1">
      <x:c r="A41" s="30" t="str"/>
      <x:c r="B41" s="25" t="str">
        <x:v>محكمة معرض</x:v>
      </x:c>
      <x:c r="C41" s="25" t="str">
        <x:v>جود المطيري</x:v>
      </x:c>
      <x:c r="D41" s="25" t="str">
        <x:v>خبيرة تجربة مستخدم</x:v>
      </x:c>
      <x:c r="E41" s="25" t="str">
        <x:v>سهولة الاستخدام وإتاحة الوصول</x:v>
      </x:c>
      <x:c r="F41" s="25" t="str">
        <x:v>محكمو معرض الابتكار</x:v>
      </x:c>
      <x:c r="G41" s="28" t="str">
        <x:v>05XX-XXX-0036</x:v>
      </x:c>
      <x:c r="H41" s="28" t="str">
        <x:v>exj06@example.com</x:v>
      </x:c>
      <x:c r="I41" s="25" t="str">
        <x:v>مؤكد</x:v>
      </x:c>
      <x:c r="J41" s="25" t="str">
        <x:v>مي العبدالله</x:v>
      </x:c>
      <x:c r="K41" s="25" t="str">
        <x:v>فيصل العسيري</x:v>
      </x:c>
      <x:c r="L41" s="25" t="str">
        <x:v>تجهيز مسار جولة ميسر.</x:v>
      </x:c>
    </x:row>
    <x:row r="42" ht="55" customHeight="1">
      <x:c r="A42" s="30" t="str"/>
      <x:c r="B42" s="25" t="str">
        <x:v>محكم معرض</x:v>
      </x:c>
      <x:c r="C42" s="25" t="str">
        <x:v>سيف الهاجري</x:v>
      </x:c>
      <x:c r="D42" s="25" t="str">
        <x:v>مستشار تمويل ابتكارات</x:v>
      </x:c>
      <x:c r="E42" s="25" t="str">
        <x:v>الاستدامة المالية والتوسع</x:v>
      </x:c>
      <x:c r="F42" s="25" t="str">
        <x:v>محكمو معرض الابتكار</x:v>
      </x:c>
      <x:c r="G42" s="28" t="str">
        <x:v>05XX-XXX-0037</x:v>
      </x:c>
      <x:c r="H42" s="28" t="str">
        <x:v>exj07@example.com</x:v>
      </x:c>
      <x:c r="I42" s="25" t="str">
        <x:v>مؤكد</x:v>
      </x:c>
      <x:c r="J42" s="25" t="str">
        <x:v>مي العبدالله</x:v>
      </x:c>
      <x:c r="K42" s="25" t="str">
        <x:v>يزن الرشيد</x:v>
      </x:c>
      <x:c r="L42" s="25" t="str">
        <x:v>تحديد موعد الجولة الثانية.</x:v>
      </x:c>
    </x:row>
    <x:row r="43" ht="55" customHeight="1">
      <x:c r="A43" s="30" t="str"/>
      <x:c r="B43" s="25" t="str">
        <x:v>محكمة معرض</x:v>
      </x:c>
      <x:c r="C43" s="25" t="str">
        <x:v>نور السبيعي</x:v>
      </x:c>
      <x:c r="D43" s="25" t="str">
        <x:v>باحثة نظم صحية</x:v>
      </x:c>
      <x:c r="E43" s="25" t="str">
        <x:v>ملاءمة الحل للاحتياج الصحي</x:v>
      </x:c>
      <x:c r="F43" s="25" t="str">
        <x:v>محكمو معرض الابتكار</x:v>
      </x:c>
      <x:c r="G43" s="28" t="str">
        <x:v>05XX-XXX-0038</x:v>
      </x:c>
      <x:c r="H43" s="28" t="str">
        <x:v>exj08@example.com</x:v>
      </x:c>
      <x:c r="I43" s="25" t="str">
        <x:v>بانتظار التأكيد</x:v>
      </x:c>
      <x:c r="J43" s="25" t="str">
        <x:v>مي العبدالله</x:v>
      </x:c>
      <x:c r="K43" s="25" t="str">
        <x:v>الجوهرة الشهري</x:v>
      </x:c>
      <x:c r="L43" s="25" t="str">
        <x:v>تنسيق زيارة جناح البحث.</x:v>
      </x:c>
    </x:row>
    <x:row r="44" ht="55" customHeight="1">
      <x:c r="A44" s="30" t="str"/>
      <x:c r="B44" s="25" t="str">
        <x:v>محكم معرض</x:v>
      </x:c>
      <x:c r="C44" s="25" t="str">
        <x:v>فارس الغامدي</x:v>
      </x:c>
      <x:c r="D44" s="25" t="str">
        <x:v>مهندس حلول رقمية</x:v>
      </x:c>
      <x:c r="E44" s="25" t="str">
        <x:v>التكامل التقني وقابلية التشغيل</x:v>
      </x:c>
      <x:c r="F44" s="25" t="str">
        <x:v>محكمو معرض الابتكار</x:v>
      </x:c>
      <x:c r="G44" s="28" t="str">
        <x:v>05XX-XXX-0039</x:v>
      </x:c>
      <x:c r="H44" s="28" t="str">
        <x:v>exj09@example.com</x:v>
      </x:c>
      <x:c r="I44" s="25" t="str">
        <x:v>مؤكد</x:v>
      </x:c>
      <x:c r="J44" s="25" t="str">
        <x:v>مي العبدالله</x:v>
      </x:c>
      <x:c r="K44" s="25" t="str">
        <x:v>فيصل العسيري</x:v>
      </x:c>
      <x:c r="L44" s="25" t="str">
        <x:v>يرغب في تجربة العروض الحية.</x:v>
      </x:c>
    </x:row>
    <x:row r="45" ht="55" customHeight="1">
      <x:c r="A45" s="30" t="str"/>
      <x:c r="B45" s="25" t="str">
        <x:v>محكمة معرض</x:v>
      </x:c>
      <x:c r="C45" s="25" t="str">
        <x:v>نجلاء العتيق</x:v>
      </x:c>
      <x:c r="D45" s="25" t="str">
        <x:v>مختصة تقييم برامج</x:v>
      </x:c>
      <x:c r="E45" s="25" t="str">
        <x:v>قابلية القياس ومؤشرات الأداء</x:v>
      </x:c>
      <x:c r="F45" s="25" t="str">
        <x:v>محكمو معرض الابتكار</x:v>
      </x:c>
      <x:c r="G45" s="28" t="str">
        <x:v>05XX-XXX-0040</x:v>
      </x:c>
      <x:c r="H45" s="28" t="str">
        <x:v>exj10@example.com</x:v>
      </x:c>
      <x:c r="I45" s="25" t="str">
        <x:v>اعتذر</x:v>
      </x:c>
      <x:c r="J45" s="25" t="str">
        <x:v>مي العبدالله</x:v>
      </x:c>
      <x:c r="K45" s="25" t="str">
        <x:v>يزن الرشيد</x:v>
      </x:c>
      <x:c r="L45" s="25" t="str">
        <x:v>اعتذار تجريبي لاختبار إعادة التوزيع.</x:v>
      </x:c>
    </x:row>
  </x:sheetData>
  <x:mergeCells>
    <x:mergeCell ref="A1:L1"/>
    <x:mergeCell ref="A2:L2"/>
    <x:mergeCell ref="A3:L3"/>
  </x:mergeCells>
  <x:conditionalFormatting sqref="I6:I45">
    <x:cfRule type="expression" dxfId="0" priority="1">
      <x:formula>$I6="مؤكد"</x:formula>
    </x:cfRule>
    <x:cfRule type="expression" dxfId="1" priority="2">
      <x:formula>$I6="بانتظار التأكيد"</x:formula>
    </x:cfRule>
    <x:cfRule type="expression" dxfId="2" priority="3">
      <x:formula>$I6="قيد التنسيق"</x:formula>
    </x:cfRule>
    <x:cfRule type="expression" dxfId="3" priority="4">
      <x:formula>$I6="اعتذر"</x:formula>
    </x:cfRule>
  </x:conditionalFormatting>
  <x:dataValidations count="1">
    <x:dataValidation type="list" sqref="I6:I45">
      <x:formula1>"مؤكد,بانتظار التأكيد,قيد التنسيق,اعتذر"</x:formula1>
    </x:dataValidation>
  </x:dataValidations>
  <x:pageMargins left="0.7" right="0.7" top="0.75" bottom="0.75" header="0.3" footer="0.3"/>
  <x:drawing xmlns:r="http://schemas.openxmlformats.org/officeDocument/2006/relationships" r:id="R2490f83c432047c7"/>
  <x:tableParts count="1">
    <x:tablePart xmlns:r="http://schemas.openxmlformats.org/officeDocument/2006/relationships" r:id="Rd78521c5c11346a2"/>
  </x:tableParts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23" hidden="0" customWidth="1"/>
    <x:col min="3" max="3" width="24" hidden="0" customWidth="1"/>
    <x:col min="4" max="4" width="35" hidden="0" customWidth="1"/>
    <x:col min="5" max="5" width="33" hidden="0" customWidth="1"/>
    <x:col min="6" max="6" width="29" hidden="0" customWidth="1"/>
    <x:col min="7" max="7" width="20" hidden="0" customWidth="1"/>
    <x:col min="8" max="8" width="29" hidden="0" customWidth="1"/>
    <x:col min="9" max="9" width="20" hidden="0" customWidth="1"/>
    <x:col min="10" max="10" width="23" hidden="0" customWidth="1"/>
    <x:col min="11" max="11" width="25" hidden="0" customWidth="1"/>
    <x:col min="12" max="12" width="43" hidden="0" customWidth="1"/>
  </x:cols>
  <x:sheetData>
    <x:row r="1" ht="42" customHeight="1">
      <x:c r="A1" s="4" t="str">
        <x:v>EVENTOPS AI | المستثمرون – يوم العروض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6" customHeight="1">
      <x:c r="A2" s="10" t="str">
        <x:v>بيانات اصطناعية بالكامل | الهواتف غير صالحة للاتصال | البريد على example.com | الصور رمزية | لأغراض اختبار EventOps AI فقط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3" ht="23" customHeight="1">
      <x:c r="A3" s="14" t="str">
        <x:v>عدد الضيوف: 10  •  تعرض هذه الورقة بيانات مرتبطة تلقائيًا بالورقة الرئيسية  •  عدّل السجلات من «جميع الضيوف»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</x:row>
    <x:row r="5" ht="34" customHeight="1">
      <x:c r="A5" s="19" t="str">
        <x:v>الصورة</x:v>
      </x:c>
      <x:c r="B5" s="19" t="str">
        <x:v>نوع الدور</x:v>
      </x:c>
      <x:c r="C5" s="19" t="str">
        <x:v>الاسم</x:v>
      </x:c>
      <x:c r="D5" s="19" t="str">
        <x:v>المسمى الوظيفي</x:v>
      </x:c>
      <x:c r="E5" s="19" t="str">
        <x:v>مجال الخبرة</x:v>
      </x:c>
      <x:c r="F5" s="19" t="str">
        <x:v>المسار</x:v>
      </x:c>
      <x:c r="G5" s="19" t="str">
        <x:v>الجوال</x:v>
      </x:c>
      <x:c r="H5" s="19" t="str">
        <x:v>البريد الإلكتروني</x:v>
      </x:c>
      <x:c r="I5" s="19" t="str">
        <x:v>الحالة / التوفر</x:v>
      </x:c>
      <x:c r="J5" s="19" t="str">
        <x:v>قائد المسار</x:v>
      </x:c>
      <x:c r="K5" s="19" t="str">
        <x:v>مسؤول الاستقبال</x:v>
      </x:c>
      <x:c r="L5" s="19" t="str">
        <x:v>ملاحظات</x:v>
      </x:c>
    </x:row>
    <x:row r="6" ht="55" customHeight="1">
      <x:c r="A6" s="30" t="str"/>
      <x:c r="B6" s="25" t="str">
        <x:f>'جميع الضيوف'!B6</x:f>
        <x:v>مستثمر استراتيجي</x:v>
      </x:c>
      <x:c r="C6" s="25" t="str">
        <x:f>'جميع الضيوف'!C6</x:f>
        <x:v>عبدالرحمن السالم</x:v>
      </x:c>
      <x:c r="D6" s="25" t="str">
        <x:f>'جميع الضيوف'!D6</x:f>
        <x:v>شريك إداري في شركة استثمار افتراضية</x:v>
      </x:c>
      <x:c r="E6" s="25" t="str">
        <x:f>'جميع الضيوف'!E6</x:f>
        <x:v>الاستثمار في التقنيات الصحية</x:v>
      </x:c>
      <x:c r="F6" s="25" t="str">
        <x:f>'جميع الضيوف'!F6</x:f>
        <x:v>المستثمرون – يوم العروض</x:v>
      </x:c>
      <x:c r="G6" s="28" t="str">
        <x:f>'جميع الضيوف'!G6</x:f>
        <x:v>05XX-XXX-0001</x:v>
      </x:c>
      <x:c r="H6" s="28" t="str">
        <x:f>'جميع الضيوف'!H6</x:f>
        <x:v>inv01@example.com</x:v>
      </x:c>
      <x:c r="I6" s="25" t="str">
        <x:f>'جميع الضيوف'!I6</x:f>
        <x:v>مؤكد</x:v>
      </x:c>
      <x:c r="J6" s="25" t="str">
        <x:f>'جميع الضيوف'!J6</x:f>
        <x:v>نادر الحربي</x:v>
      </x:c>
      <x:c r="K6" s="25" t="str">
        <x:f>'جميع الضيوف'!K6</x:f>
        <x:v>هناء الماجد</x:v>
      </x:c>
      <x:c r="L6" s="25" t="str">
        <x:f>'جميع الضيوف'!L6</x:f>
        <x:v>مهتم بالعروض المتعلقة بالأجهزة الطبية.</x:v>
      </x:c>
    </x:row>
    <x:row r="7" ht="55" customHeight="1">
      <x:c r="A7" s="30" t="str"/>
      <x:c r="B7" s="25" t="str">
        <x:f>'جميع الضيوف'!B7</x:f>
        <x:v>مستثمر ملائكي</x:v>
      </x:c>
      <x:c r="C7" s="25" t="str">
        <x:f>'جميع الضيوف'!C7</x:f>
        <x:v>رُبى الشمري</x:v>
      </x:c>
      <x:c r="D7" s="25" t="str">
        <x:f>'جميع الضيوف'!D7</x:f>
        <x:v>مستثمرة في الشركات الناشئة</x:v>
      </x:c>
      <x:c r="E7" s="25" t="str">
        <x:f>'جميع الضيوف'!E7</x:f>
        <x:v>الصحة الرقمية والابتكار</x:v>
      </x:c>
      <x:c r="F7" s="25" t="str">
        <x:f>'جميع الضيوف'!F7</x:f>
        <x:v>المستثمرون – يوم العروض</x:v>
      </x:c>
      <x:c r="G7" s="28" t="str">
        <x:f>'جميع الضيوف'!G7</x:f>
        <x:v>05XX-XXX-0002</x:v>
      </x:c>
      <x:c r="H7" s="28" t="str">
        <x:f>'جميع الضيوف'!H7</x:f>
        <x:v>inv02@example.com</x:v>
      </x:c>
      <x:c r="I7" s="25" t="str">
        <x:f>'جميع الضيوف'!I7</x:f>
        <x:v>مؤكد</x:v>
      </x:c>
      <x:c r="J7" s="25" t="str">
        <x:f>'جميع الضيوف'!J7</x:f>
        <x:v>نادر الحربي</x:v>
      </x:c>
      <x:c r="K7" s="25" t="str">
        <x:f>'جميع الضيوف'!K7</x:f>
        <x:v>سامي الوهيبي</x:v>
      </x:c>
      <x:c r="L7" s="25" t="str">
        <x:f>'جميع الضيوف'!L7</x:f>
        <x:v>يفضل إرسال الملخص التنفيذي قبل اللقاء.</x:v>
      </x:c>
    </x:row>
    <x:row r="8" ht="55" customHeight="1">
      <x:c r="A8" s="30" t="str"/>
      <x:c r="B8" s="25" t="str">
        <x:f>'جميع الضيوف'!B8</x:f>
        <x:v>ممثل صندوق استثماري</x:v>
      </x:c>
      <x:c r="C8" s="25" t="str">
        <x:f>'جميع الضيوف'!C8</x:f>
        <x:v>سلمان الهزاع</x:v>
      </x:c>
      <x:c r="D8" s="25" t="str">
        <x:f>'جميع الضيوف'!D8</x:f>
        <x:v>مدير استثمارات</x:v>
      </x:c>
      <x:c r="E8" s="25" t="str">
        <x:f>'جميع الضيوف'!E8</x:f>
        <x:v>رأس المال الجريء</x:v>
      </x:c>
      <x:c r="F8" s="25" t="str">
        <x:f>'جميع الضيوف'!F8</x:f>
        <x:v>المستثمرون – يوم العروض</x:v>
      </x:c>
      <x:c r="G8" s="28" t="str">
        <x:f>'جميع الضيوف'!G8</x:f>
        <x:v>05XX-XXX-0003</x:v>
      </x:c>
      <x:c r="H8" s="28" t="str">
        <x:f>'جميع الضيوف'!H8</x:f>
        <x:v>inv03@example.com</x:v>
      </x:c>
      <x:c r="I8" s="25" t="str">
        <x:f>'جميع الضيوف'!I8</x:f>
        <x:v>بانتظار التأكيد</x:v>
      </x:c>
      <x:c r="J8" s="25" t="str">
        <x:f>'جميع الضيوف'!J8</x:f>
        <x:v>نادر الحربي</x:v>
      </x:c>
      <x:c r="K8" s="25" t="str">
        <x:f>'جميع الضيوف'!K8</x:f>
        <x:v>ريم السهلي</x:v>
      </x:c>
      <x:c r="L8" s="25" t="str">
        <x:f>'جميع الضيوف'!L8</x:f>
        <x:v>يحتاج ترتيب اجتماع بعد العروض.</x:v>
      </x:c>
    </x:row>
    <x:row r="9" ht="55" customHeight="1">
      <x:c r="A9" s="30" t="str"/>
      <x:c r="B9" s="25" t="str">
        <x:f>'جميع الضيوف'!B9</x:f>
        <x:v>شريكة استثمارية</x:v>
      </x:c>
      <x:c r="C9" s="25" t="str">
        <x:f>'جميع الضيوف'!C9</x:f>
        <x:v>مشاعل الناصر</x:v>
      </x:c>
      <x:c r="D9" s="25" t="str">
        <x:f>'جميع الضيوف'!D9</x:f>
        <x:v>شريكة في صندوق افتراضي</x:v>
      </x:c>
      <x:c r="E9" s="25" t="str">
        <x:f>'جميع الضيوف'!E9</x:f>
        <x:v>التقنيات الطبية الناشئة</x:v>
      </x:c>
      <x:c r="F9" s="25" t="str">
        <x:f>'جميع الضيوف'!F9</x:f>
        <x:v>المستثمرون – يوم العروض</x:v>
      </x:c>
      <x:c r="G9" s="28" t="str">
        <x:f>'جميع الضيوف'!G9</x:f>
        <x:v>05XX-XXX-0004</x:v>
      </x:c>
      <x:c r="H9" s="28" t="str">
        <x:f>'جميع الضيوف'!H9</x:f>
        <x:v>inv04@example.com</x:v>
      </x:c>
      <x:c r="I9" s="25" t="str">
        <x:f>'جميع الضيوف'!I9</x:f>
        <x:v>مؤكد</x:v>
      </x:c>
      <x:c r="J9" s="25" t="str">
        <x:f>'جميع الضيوف'!J9</x:f>
        <x:v>نادر الحربي</x:v>
      </x:c>
      <x:c r="K9" s="25" t="str">
        <x:f>'جميع الضيوف'!K9</x:f>
        <x:v>هناء الماجد</x:v>
      </x:c>
      <x:c r="L9" s="25" t="str">
        <x:f>'جميع الضيوف'!L9</x:f>
        <x:v>ترغب في جولة معرض الابتكار.</x:v>
      </x:c>
    </x:row>
    <x:row r="10" ht="55" customHeight="1">
      <x:c r="A10" s="30" t="str"/>
      <x:c r="B10" s="25" t="str">
        <x:f>'جميع الضيوف'!B10</x:f>
        <x:v>مستثمر مؤسسي</x:v>
      </x:c>
      <x:c r="C10" s="25" t="str">
        <x:f>'جميع الضيوف'!C10</x:f>
        <x:v>خالد العتيق</x:v>
      </x:c>
      <x:c r="D10" s="25" t="str">
        <x:f>'جميع الضيوف'!D10</x:f>
        <x:v>مدير تطوير الأعمال والاستثمار</x:v>
      </x:c>
      <x:c r="E10" s="25" t="str">
        <x:f>'جميع الضيوف'!E10</x:f>
        <x:v>الاستثمار المؤسسي والتحول الصحي</x:v>
      </x:c>
      <x:c r="F10" s="25" t="str">
        <x:f>'جميع الضيوف'!F10</x:f>
        <x:v>المستثمرون – يوم العروض</x:v>
      </x:c>
      <x:c r="G10" s="28" t="str">
        <x:f>'جميع الضيوف'!G10</x:f>
        <x:v>05XX-XXX-0005</x:v>
      </x:c>
      <x:c r="H10" s="28" t="str">
        <x:f>'جميع الضيوف'!H10</x:f>
        <x:v>inv05@example.com</x:v>
      </x:c>
      <x:c r="I10" s="25" t="str">
        <x:f>'جميع الضيوف'!I10</x:f>
        <x:v>قيد التنسيق</x:v>
      </x:c>
      <x:c r="J10" s="25" t="str">
        <x:f>'جميع الضيوف'!J10</x:f>
        <x:v>نادر الحربي</x:v>
      </x:c>
      <x:c r="K10" s="25" t="str">
        <x:f>'جميع الضيوف'!K10</x:f>
        <x:v>سامي الوهيبي</x:v>
      </x:c>
      <x:c r="L10" s="25" t="str">
        <x:f>'جميع الضيوف'!L10</x:f>
        <x:v>تحديد بوابة كبار الشخصيات.</x:v>
      </x:c>
    </x:row>
    <x:row r="11" ht="55" customHeight="1">
      <x:c r="A11" s="30" t="str"/>
      <x:c r="B11" s="25" t="str">
        <x:f>'جميع الضيوف'!B11</x:f>
        <x:v>مستثمرة ملائكية</x:v>
      </x:c>
      <x:c r="C11" s="25" t="str">
        <x:f>'جميع الضيوف'!C11</x:f>
        <x:v>ليان الدوسري</x:v>
      </x:c>
      <x:c r="D11" s="25" t="str">
        <x:f>'جميع الضيوف'!D11</x:f>
        <x:v>مؤسسة شركة استثمار افتراضية</x:v>
      </x:c>
      <x:c r="E11" s="25" t="str">
        <x:f>'جميع الضيوف'!E11</x:f>
        <x:v>ريادة الأعمال الصحية</x:v>
      </x:c>
      <x:c r="F11" s="25" t="str">
        <x:f>'جميع الضيوف'!F11</x:f>
        <x:v>المستثمرون – يوم العروض</x:v>
      </x:c>
      <x:c r="G11" s="28" t="str">
        <x:f>'جميع الضيوف'!G11</x:f>
        <x:v>05XX-XXX-0006</x:v>
      </x:c>
      <x:c r="H11" s="28" t="str">
        <x:f>'جميع الضيوف'!H11</x:f>
        <x:v>inv06@example.com</x:v>
      </x:c>
      <x:c r="I11" s="25" t="str">
        <x:f>'جميع الضيوف'!I11</x:f>
        <x:v>مؤكد</x:v>
      </x:c>
      <x:c r="J11" s="25" t="str">
        <x:f>'جميع الضيوف'!J11</x:f>
        <x:v>نادر الحربي</x:v>
      </x:c>
      <x:c r="K11" s="25" t="str">
        <x:f>'جميع الضيوف'!K11</x:f>
        <x:v>ريم السهلي</x:v>
      </x:c>
      <x:c r="L11" s="25" t="str">
        <x:f>'جميع الضيوف'!L11</x:f>
        <x:v>بحاجة إلى معلومات مواقف الضيوف.</x:v>
      </x:c>
    </x:row>
    <x:row r="12" ht="55" customHeight="1">
      <x:c r="A12" s="30" t="str"/>
      <x:c r="B12" s="25" t="str">
        <x:f>'جميع الضيوف'!B12</x:f>
        <x:v>ممثل صندوق استثماري</x:v>
      </x:c>
      <x:c r="C12" s="25" t="str">
        <x:f>'جميع الضيوف'!C12</x:f>
        <x:v>نواف العبدالله</x:v>
      </x:c>
      <x:c r="D12" s="25" t="str">
        <x:f>'جميع الضيوف'!D12</x:f>
        <x:v>مدير محفظة استثمارية</x:v>
      </x:c>
      <x:c r="E12" s="25" t="str">
        <x:f>'جميع الضيوف'!E12</x:f>
        <x:v>تحليل الفرص والشراكات</x:v>
      </x:c>
      <x:c r="F12" s="25" t="str">
        <x:f>'جميع الضيوف'!F12</x:f>
        <x:v>المستثمرون – يوم العروض</x:v>
      </x:c>
      <x:c r="G12" s="28" t="str">
        <x:f>'جميع الضيوف'!G12</x:f>
        <x:v>05XX-XXX-0007</x:v>
      </x:c>
      <x:c r="H12" s="28" t="str">
        <x:f>'جميع الضيوف'!H12</x:f>
        <x:v>inv07@example.com</x:v>
      </x:c>
      <x:c r="I12" s="25" t="str">
        <x:f>'جميع الضيوف'!I12</x:f>
        <x:v>مؤكد</x:v>
      </x:c>
      <x:c r="J12" s="25" t="str">
        <x:f>'جميع الضيوف'!J12</x:f>
        <x:v>نادر الحربي</x:v>
      </x:c>
      <x:c r="K12" s="25" t="str">
        <x:f>'جميع الضيوف'!K12</x:f>
        <x:v>هناء الماجد</x:v>
      </x:c>
      <x:c r="L12" s="25" t="str">
        <x:f>'جميع الضيوف'!L12</x:f>
        <x:v>يرغب بملف المشاريع المتأهلة.</x:v>
      </x:c>
    </x:row>
    <x:row r="13" ht="55" customHeight="1">
      <x:c r="A13" s="30" t="str"/>
      <x:c r="B13" s="25" t="str">
        <x:f>'جميع الضيوف'!B13</x:f>
        <x:v>مستثمرة استراتيجية</x:v>
      </x:c>
      <x:c r="C13" s="25" t="str">
        <x:f>'جميع الضيوف'!C13</x:f>
        <x:v>هالة الرشيد</x:v>
      </x:c>
      <x:c r="D13" s="25" t="str">
        <x:f>'جميع الضيوف'!D13</x:f>
        <x:v>رئيسة الشراكات الاستثمارية</x:v>
      </x:c>
      <x:c r="E13" s="25" t="str">
        <x:f>'جميع الضيوف'!E13</x:f>
        <x:v>حلول الرعاية القائمة على القيمة</x:v>
      </x:c>
      <x:c r="F13" s="25" t="str">
        <x:f>'جميع الضيوف'!F13</x:f>
        <x:v>المستثمرون – يوم العروض</x:v>
      </x:c>
      <x:c r="G13" s="28" t="str">
        <x:f>'جميع الضيوف'!G13</x:f>
        <x:v>05XX-XXX-0008</x:v>
      </x:c>
      <x:c r="H13" s="28" t="str">
        <x:f>'جميع الضيوف'!H13</x:f>
        <x:v>inv08@example.com</x:v>
      </x:c>
      <x:c r="I13" s="25" t="str">
        <x:f>'جميع الضيوف'!I13</x:f>
        <x:v>بانتظار التأكيد</x:v>
      </x:c>
      <x:c r="J13" s="25" t="str">
        <x:f>'جميع الضيوف'!J13</x:f>
        <x:v>نادر الحربي</x:v>
      </x:c>
      <x:c r="K13" s="25" t="str">
        <x:f>'جميع الضيوف'!K13</x:f>
        <x:v>سامي الوهيبي</x:v>
      </x:c>
      <x:c r="L13" s="25" t="str">
        <x:f>'جميع الضيوف'!L13</x:f>
        <x:v>تنسيق مقابلة قصيرة مع الفرق.</x:v>
      </x:c>
    </x:row>
    <x:row r="14" ht="55" customHeight="1">
      <x:c r="A14" s="30" t="str"/>
      <x:c r="B14" s="25" t="str">
        <x:f>'جميع الضيوف'!B14</x:f>
        <x:v>مستثمر ملائكي</x:v>
      </x:c>
      <x:c r="C14" s="25" t="str">
        <x:f>'جميع الضيوف'!C14</x:f>
        <x:v>راشد الغانم</x:v>
      </x:c>
      <x:c r="D14" s="25" t="str">
        <x:f>'جميع الضيوف'!D14</x:f>
        <x:v>مستثمر مستقل</x:v>
      </x:c>
      <x:c r="E14" s="25" t="str">
        <x:f>'جميع الضيوف'!E14</x:f>
        <x:v>الذكاء الاصطناعي الطبي</x:v>
      </x:c>
      <x:c r="F14" s="25" t="str">
        <x:f>'جميع الضيوف'!F14</x:f>
        <x:v>المستثمرون – يوم العروض</x:v>
      </x:c>
      <x:c r="G14" s="28" t="str">
        <x:f>'جميع الضيوف'!G14</x:f>
        <x:v>05XX-XXX-0009</x:v>
      </x:c>
      <x:c r="H14" s="28" t="str">
        <x:f>'جميع الضيوف'!H14</x:f>
        <x:v>inv09@example.com</x:v>
      </x:c>
      <x:c r="I14" s="25" t="str">
        <x:f>'جميع الضيوف'!I14</x:f>
        <x:v>مؤكد</x:v>
      </x:c>
      <x:c r="J14" s="25" t="str">
        <x:f>'جميع الضيوف'!J14</x:f>
        <x:v>نادر الحربي</x:v>
      </x:c>
      <x:c r="K14" s="25" t="str">
        <x:f>'جميع الضيوف'!K14</x:f>
        <x:v>ريم السهلي</x:v>
      </x:c>
      <x:c r="L14" s="25" t="str">
        <x:f>'جميع الضيوف'!L14</x:f>
        <x:v>الرجاء مراجعة وقت الوصول.</x:v>
      </x:c>
    </x:row>
    <x:row r="15" ht="55" customHeight="1">
      <x:c r="A15" s="30" t="str"/>
      <x:c r="B15" s="25" t="str">
        <x:f>'جميع الضيوف'!B15</x:f>
        <x:v>ممثلة شركة استثمار</x:v>
      </x:c>
      <x:c r="C15" s="25" t="str">
        <x:f>'جميع الضيوف'!C15</x:f>
        <x:v>دانة اليامي</x:v>
      </x:c>
      <x:c r="D15" s="25" t="str">
        <x:f>'جميع الضيوف'!D15</x:f>
        <x:v>مديرة الابتكار الاستثماري</x:v>
      </x:c>
      <x:c r="E15" s="25" t="str">
        <x:f>'جميع الضيوف'!E15</x:f>
        <x:v>التوسع التجاري للصحة الرقمية</x:v>
      </x:c>
      <x:c r="F15" s="25" t="str">
        <x:f>'جميع الضيوف'!F15</x:f>
        <x:v>المستثمرون – يوم العروض</x:v>
      </x:c>
      <x:c r="G15" s="28" t="str">
        <x:f>'جميع الضيوف'!G15</x:f>
        <x:v>05XX-XXX-0010</x:v>
      </x:c>
      <x:c r="H15" s="28" t="str">
        <x:f>'جميع الضيوف'!H15</x:f>
        <x:v>inv10@example.com</x:v>
      </x:c>
      <x:c r="I15" s="25" t="str">
        <x:f>'جميع الضيوف'!I15</x:f>
        <x:v>اعتذر</x:v>
      </x:c>
      <x:c r="J15" s="25" t="str">
        <x:f>'جميع الضيوف'!J15</x:f>
        <x:v>نادر الحربي</x:v>
      </x:c>
      <x:c r="K15" s="25" t="str">
        <x:f>'جميع الضيوف'!K15</x:f>
        <x:v>هناء الماجد</x:v>
      </x:c>
      <x:c r="L15" s="25" t="str">
        <x:f>'جميع الضيوف'!L15</x:f>
        <x:v>اعتذار تجريبي لاختبار الحالات.</x:v>
      </x:c>
    </x:row>
  </x:sheetData>
  <x:mergeCells>
    <x:mergeCell ref="A1:L1"/>
    <x:mergeCell ref="A2:L2"/>
    <x:mergeCell ref="A3:L3"/>
  </x:mergeCells>
  <x:conditionalFormatting sqref="I6:I15">
    <x:cfRule type="expression" dxfId="4" priority="1">
      <x:formula>$I6="مؤكد"</x:formula>
    </x:cfRule>
    <x:cfRule type="expression" dxfId="5" priority="2">
      <x:formula>$I6="بانتظار التأكيد"</x:formula>
    </x:cfRule>
    <x:cfRule type="expression" dxfId="6" priority="3">
      <x:formula>$I6="قيد التنسيق"</x:formula>
    </x:cfRule>
    <x:cfRule type="expression" dxfId="7" priority="4">
      <x:formula>$I6="اعتذر"</x:formula>
    </x:cfRule>
  </x:conditionalFormatting>
  <x:dataValidations count="1">
    <x:dataValidation type="list" sqref="I6:I15">
      <x:formula1>"مؤكد,بانتظار التأكيد,قيد التنسيق,اعتذر"</x:formula1>
    </x:dataValidation>
  </x:dataValidations>
  <x:pageMargins left="0.7" right="0.7" top="0.75" bottom="0.75" header="0.3" footer="0.3"/>
  <x:drawing xmlns:r="http://schemas.openxmlformats.org/officeDocument/2006/relationships" r:id="R13d04dfcd71e4849"/>
  <x:tableParts count="1">
    <x:tablePart xmlns:r="http://schemas.openxmlformats.org/officeDocument/2006/relationships" r:id="R7504ce8bd60c488a"/>
  </x:tableParts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23" hidden="0" customWidth="1"/>
    <x:col min="3" max="3" width="24" hidden="0" customWidth="1"/>
    <x:col min="4" max="4" width="35" hidden="0" customWidth="1"/>
    <x:col min="5" max="5" width="33" hidden="0" customWidth="1"/>
    <x:col min="6" max="6" width="29" hidden="0" customWidth="1"/>
    <x:col min="7" max="7" width="20" hidden="0" customWidth="1"/>
    <x:col min="8" max="8" width="29" hidden="0" customWidth="1"/>
    <x:col min="9" max="9" width="20" hidden="0" customWidth="1"/>
    <x:col min="10" max="10" width="23" hidden="0" customWidth="1"/>
    <x:col min="11" max="11" width="25" hidden="0" customWidth="1"/>
    <x:col min="12" max="12" width="43" hidden="0" customWidth="1"/>
  </x:cols>
  <x:sheetData>
    <x:row r="1" ht="42" customHeight="1">
      <x:c r="A1" s="4" t="str">
        <x:v>EVENTOPS AI | المحكمون الدوليون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6" customHeight="1">
      <x:c r="A2" s="10" t="str">
        <x:v>بيانات اصطناعية بالكامل | الهواتف غير صالحة للاتصال | البريد على example.com | الصور رمزية | لأغراض اختبار EventOps AI فقط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3" ht="23" customHeight="1">
      <x:c r="A3" s="14" t="str">
        <x:v>عدد الضيوف: 10  •  تعرض هذه الورقة بيانات مرتبطة تلقائيًا بالورقة الرئيسية  •  عدّل السجلات من «جميع الضيوف»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</x:row>
    <x:row r="5" ht="34" customHeight="1">
      <x:c r="A5" s="19" t="str">
        <x:v>الصورة</x:v>
      </x:c>
      <x:c r="B5" s="19" t="str">
        <x:v>نوع الدور</x:v>
      </x:c>
      <x:c r="C5" s="19" t="str">
        <x:v>الاسم</x:v>
      </x:c>
      <x:c r="D5" s="19" t="str">
        <x:v>المسمى الوظيفي</x:v>
      </x:c>
      <x:c r="E5" s="19" t="str">
        <x:v>مجال الخبرة</x:v>
      </x:c>
      <x:c r="F5" s="19" t="str">
        <x:v>المسار</x:v>
      </x:c>
      <x:c r="G5" s="19" t="str">
        <x:v>الجوال</x:v>
      </x:c>
      <x:c r="H5" s="19" t="str">
        <x:v>البريد الإلكتروني</x:v>
      </x:c>
      <x:c r="I5" s="19" t="str">
        <x:v>الحالة / التوفر</x:v>
      </x:c>
      <x:c r="J5" s="19" t="str">
        <x:v>قائد المسار</x:v>
      </x:c>
      <x:c r="K5" s="19" t="str">
        <x:v>مسؤول الاستقبال</x:v>
      </x:c>
      <x:c r="L5" s="19" t="str">
        <x:v>ملاحظات</x:v>
      </x:c>
    </x:row>
    <x:row r="6" ht="55" customHeight="1">
      <x:c r="A6" s="30" t="str"/>
      <x:c r="B6" s="25" t="str">
        <x:f>'جميع الضيوف'!B16</x:f>
        <x:v>محكمة دولية</x:v>
      </x:c>
      <x:c r="C6" s="25" t="str">
        <x:f>'جميع الضيوف'!C16</x:f>
        <x:v>إميليا كارتر</x:v>
      </x:c>
      <x:c r="D6" s="25" t="str">
        <x:f>'جميع الضيوف'!D16</x:f>
        <x:v>خبيرة تقييم ابتكارات صحية</x:v>
      </x:c>
      <x:c r="E6" s="25" t="str">
        <x:f>'جميع الضيوف'!E16</x:f>
        <x:v>الابتكار الطبي وريادة الأعمال</x:v>
      </x:c>
      <x:c r="F6" s="25" t="str">
        <x:f>'جميع الضيوف'!F16</x:f>
        <x:v>المحكمون الدوليون</x:v>
      </x:c>
      <x:c r="G6" s="28" t="str">
        <x:f>'جميع الضيوف'!G16</x:f>
        <x:v>05XX-XXX-0011</x:v>
      </x:c>
      <x:c r="H6" s="28" t="str">
        <x:f>'جميع الضيوف'!H16</x:f>
        <x:v>ij01@example.com</x:v>
      </x:c>
      <x:c r="I6" s="25" t="str">
        <x:f>'جميع الضيوف'!I16</x:f>
        <x:v>مؤكد</x:v>
      </x:c>
      <x:c r="J6" s="25" t="str">
        <x:f>'جميع الضيوف'!J16</x:f>
        <x:v>سارة الماجد</x:v>
      </x:c>
      <x:c r="K6" s="25" t="str">
        <x:f>'جميع الضيوف'!K16</x:f>
        <x:v>عمر العيسى</x:v>
      </x:c>
      <x:c r="L6" s="25" t="str">
        <x:f>'جميع الضيوف'!L16</x:f>
        <x:v>تحتاج إرشادات الوصول باللغة الإنجليزية.</x:v>
      </x:c>
    </x:row>
    <x:row r="7" ht="55" customHeight="1">
      <x:c r="A7" s="30" t="str"/>
      <x:c r="B7" s="25" t="str">
        <x:f>'جميع الضيوف'!B17</x:f>
        <x:v>محكم دولي</x:v>
      </x:c>
      <x:c r="C7" s="25" t="str">
        <x:f>'جميع الضيوف'!C17</x:f>
        <x:v>دانيال ريفرز</x:v>
      </x:c>
      <x:c r="D7" s="25" t="str">
        <x:f>'جميع الضيوف'!D17</x:f>
        <x:v>استشاري تقييم تقنيات طبية</x:v>
      </x:c>
      <x:c r="E7" s="25" t="str">
        <x:f>'جميع الضيوف'!E17</x:f>
        <x:v>الأجهزة الطبية وسلامة المرضى</x:v>
      </x:c>
      <x:c r="F7" s="25" t="str">
        <x:f>'جميع الضيوف'!F17</x:f>
        <x:v>المحكمون الدوليون</x:v>
      </x:c>
      <x:c r="G7" s="28" t="str">
        <x:f>'جميع الضيوف'!G17</x:f>
        <x:v>05XX-XXX-0012</x:v>
      </x:c>
      <x:c r="H7" s="28" t="str">
        <x:f>'جميع الضيوف'!H17</x:f>
        <x:v>ij02@example.com</x:v>
      </x:c>
      <x:c r="I7" s="25" t="str">
        <x:f>'جميع الضيوف'!I17</x:f>
        <x:v>مؤكد</x:v>
      </x:c>
      <x:c r="J7" s="25" t="str">
        <x:f>'جميع الضيوف'!J17</x:f>
        <x:v>سارة الماجد</x:v>
      </x:c>
      <x:c r="K7" s="25" t="str">
        <x:f>'جميع الضيوف'!K17</x:f>
        <x:v>لُجين المرزوق</x:v>
      </x:c>
      <x:c r="L7" s="25" t="str">
        <x:f>'جميع الضيوف'!L17</x:f>
        <x:v>تجهيز جدول التحكيم.</x:v>
      </x:c>
    </x:row>
    <x:row r="8" ht="55" customHeight="1">
      <x:c r="A8" s="30" t="str"/>
      <x:c r="B8" s="25" t="str">
        <x:f>'جميع الضيوف'!B18</x:f>
        <x:v>محكمة دولية</x:v>
      </x:c>
      <x:c r="C8" s="25" t="str">
        <x:f>'جميع الضيوف'!C18</x:f>
        <x:v>صوفيا مارتن</x:v>
      </x:c>
      <x:c r="D8" s="25" t="str">
        <x:f>'جميع الضيوف'!D18</x:f>
        <x:v>باحثة في علوم البيانات الصحية</x:v>
      </x:c>
      <x:c r="E8" s="25" t="str">
        <x:f>'جميع الضيوف'!E18</x:f>
        <x:v>الذكاء الاصطناعي الصحي</x:v>
      </x:c>
      <x:c r="F8" s="25" t="str">
        <x:f>'جميع الضيوف'!F18</x:f>
        <x:v>المحكمون الدوليون</x:v>
      </x:c>
      <x:c r="G8" s="28" t="str">
        <x:f>'جميع الضيوف'!G18</x:f>
        <x:v>05XX-XXX-0013</x:v>
      </x:c>
      <x:c r="H8" s="28" t="str">
        <x:f>'جميع الضيوف'!H18</x:f>
        <x:v>ij03@example.com</x:v>
      </x:c>
      <x:c r="I8" s="25" t="str">
        <x:f>'جميع الضيوف'!I18</x:f>
        <x:v>بانتظار التأكيد</x:v>
      </x:c>
      <x:c r="J8" s="25" t="str">
        <x:f>'جميع الضيوف'!J18</x:f>
        <x:v>سارة الماجد</x:v>
      </x:c>
      <x:c r="K8" s="25" t="str">
        <x:f>'جميع الضيوف'!K18</x:f>
        <x:v>عبدالإله الشمري</x:v>
      </x:c>
      <x:c r="L8" s="25" t="str">
        <x:f>'جميع الضيوف'!L18</x:f>
        <x:v>ترجمة تعريف الفرق إلى الإنجليزية.</x:v>
      </x:c>
    </x:row>
    <x:row r="9" ht="55" customHeight="1">
      <x:c r="A9" s="30" t="str"/>
      <x:c r="B9" s="25" t="str">
        <x:f>'جميع الضيوف'!B19</x:f>
        <x:v>محكم دولي</x:v>
      </x:c>
      <x:c r="C9" s="25" t="str">
        <x:f>'جميع الضيوف'!C19</x:f>
        <x:v>ماتيو روسي</x:v>
      </x:c>
      <x:c r="D9" s="25" t="str">
        <x:f>'جميع الضيوف'!D19</x:f>
        <x:v>خبير مشاريع ناشئة</x:v>
      </x:c>
      <x:c r="E9" s="25" t="str">
        <x:f>'جميع الضيوف'!E19</x:f>
        <x:v>الجدوى التجارية للتقنية الطبية</x:v>
      </x:c>
      <x:c r="F9" s="25" t="str">
        <x:f>'جميع الضيوف'!F19</x:f>
        <x:v>المحكمون الدوليون</x:v>
      </x:c>
      <x:c r="G9" s="28" t="str">
        <x:f>'جميع الضيوف'!G19</x:f>
        <x:v>05XX-XXX-0014</x:v>
      </x:c>
      <x:c r="H9" s="28" t="str">
        <x:f>'جميع الضيوف'!H19</x:f>
        <x:v>ij04@example.com</x:v>
      </x:c>
      <x:c r="I9" s="25" t="str">
        <x:f>'جميع الضيوف'!I19</x:f>
        <x:v>مؤكد</x:v>
      </x:c>
      <x:c r="J9" s="25" t="str">
        <x:f>'جميع الضيوف'!J19</x:f>
        <x:v>سارة الماجد</x:v>
      </x:c>
      <x:c r="K9" s="25" t="str">
        <x:f>'جميع الضيوف'!K19</x:f>
        <x:v>عمر العيسى</x:v>
      </x:c>
      <x:c r="L9" s="25" t="str">
        <x:f>'جميع الضيوف'!L19</x:f>
        <x:v>التأكيد على توقيت لجنة التحكيم.</x:v>
      </x:c>
    </x:row>
    <x:row r="10" ht="55" customHeight="1">
      <x:c r="A10" s="30" t="str"/>
      <x:c r="B10" s="25" t="str">
        <x:f>'جميع الضيوف'!B20</x:f>
        <x:v>محكمة دولية</x:v>
      </x:c>
      <x:c r="C10" s="25" t="str">
        <x:f>'جميع الضيوف'!C20</x:f>
        <x:v>ناومي تايلور</x:v>
      </x:c>
      <x:c r="D10" s="25" t="str">
        <x:f>'جميع الضيوف'!D20</x:f>
        <x:v>مستشارة ابتكار صحي</x:v>
      </x:c>
      <x:c r="E10" s="25" t="str">
        <x:f>'جميع الضيوف'!E20</x:f>
        <x:v>تصميم الحلول المرتكزة على المريض</x:v>
      </x:c>
      <x:c r="F10" s="25" t="str">
        <x:f>'جميع الضيوف'!F20</x:f>
        <x:v>المحكمون الدوليون</x:v>
      </x:c>
      <x:c r="G10" s="28" t="str">
        <x:f>'جميع الضيوف'!G20</x:f>
        <x:v>05XX-XXX-0015</x:v>
      </x:c>
      <x:c r="H10" s="28" t="str">
        <x:f>'جميع الضيوف'!H20</x:f>
        <x:v>ij05@example.com</x:v>
      </x:c>
      <x:c r="I10" s="25" t="str">
        <x:f>'جميع الضيوف'!I20</x:f>
        <x:v>قيد التنسيق</x:v>
      </x:c>
      <x:c r="J10" s="25" t="str">
        <x:f>'جميع الضيوف'!J20</x:f>
        <x:v>سارة الماجد</x:v>
      </x:c>
      <x:c r="K10" s="25" t="str">
        <x:f>'جميع الضيوف'!K20</x:f>
        <x:v>لُجين المرزوق</x:v>
      </x:c>
      <x:c r="L10" s="25" t="str">
        <x:f>'جميع الضيوف'!L20</x:f>
        <x:v>تحتاج مرافقًا عند الوصول.</x:v>
      </x:c>
    </x:row>
    <x:row r="11" ht="55" customHeight="1">
      <x:c r="A11" s="30" t="str"/>
      <x:c r="B11" s="25" t="str">
        <x:f>'جميع الضيوف'!B21</x:f>
        <x:v>محكم دولي</x:v>
      </x:c>
      <x:c r="C11" s="25" t="str">
        <x:f>'جميع الضيوف'!C21</x:f>
        <x:v>آدم لوران</x:v>
      </x:c>
      <x:c r="D11" s="25" t="str">
        <x:f>'جميع الضيوف'!D21</x:f>
        <x:v>أستاذ تقنيات رقمية افتراضي</x:v>
      </x:c>
      <x:c r="E11" s="25" t="str">
        <x:f>'جميع الضيوف'!E21</x:f>
        <x:v>حوكمة البيانات والخصوصية</x:v>
      </x:c>
      <x:c r="F11" s="25" t="str">
        <x:f>'جميع الضيوف'!F21</x:f>
        <x:v>المحكمون الدوليون</x:v>
      </x:c>
      <x:c r="G11" s="28" t="str">
        <x:f>'جميع الضيوف'!G21</x:f>
        <x:v>05XX-XXX-0016</x:v>
      </x:c>
      <x:c r="H11" s="28" t="str">
        <x:f>'جميع الضيوف'!H21</x:f>
        <x:v>ij06@example.com</x:v>
      </x:c>
      <x:c r="I11" s="25" t="str">
        <x:f>'جميع الضيوف'!I21</x:f>
        <x:v>مؤكد</x:v>
      </x:c>
      <x:c r="J11" s="25" t="str">
        <x:f>'جميع الضيوف'!J21</x:f>
        <x:v>سارة الماجد</x:v>
      </x:c>
      <x:c r="K11" s="25" t="str">
        <x:f>'جميع الضيوف'!K21</x:f>
        <x:v>عبدالإله الشمري</x:v>
      </x:c>
      <x:c r="L11" s="25" t="str">
        <x:f>'جميع الضيوف'!L21</x:f>
        <x:v>توفير اتصال إنترنت للاجتماعات.</x:v>
      </x:c>
    </x:row>
    <x:row r="12" ht="55" customHeight="1">
      <x:c r="A12" s="30" t="str"/>
      <x:c r="B12" s="25" t="str">
        <x:f>'جميع الضيوف'!B22</x:f>
        <x:v>محكمة دولية</x:v>
      </x:c>
      <x:c r="C12" s="25" t="str">
        <x:f>'جميع الضيوف'!C22</x:f>
        <x:v>كلارا فيشر</x:v>
      </x:c>
      <x:c r="D12" s="25" t="str">
        <x:f>'جميع الضيوف'!D22</x:f>
        <x:v>خبيرة انتقال البحوث للسوق</x:v>
      </x:c>
      <x:c r="E12" s="25" t="str">
        <x:f>'جميع الضيوف'!E22</x:f>
        <x:v>نقل التقنية وبراءات الاختراع</x:v>
      </x:c>
      <x:c r="F12" s="25" t="str">
        <x:f>'جميع الضيوف'!F22</x:f>
        <x:v>المحكمون الدوليون</x:v>
      </x:c>
      <x:c r="G12" s="28" t="str">
        <x:f>'جميع الضيوف'!G22</x:f>
        <x:v>05XX-XXX-0017</x:v>
      </x:c>
      <x:c r="H12" s="28" t="str">
        <x:f>'جميع الضيوف'!H22</x:f>
        <x:v>ij07@example.com</x:v>
      </x:c>
      <x:c r="I12" s="25" t="str">
        <x:f>'جميع الضيوف'!I22</x:f>
        <x:v>مؤكد</x:v>
      </x:c>
      <x:c r="J12" s="25" t="str">
        <x:f>'جميع الضيوف'!J22</x:f>
        <x:v>سارة الماجد</x:v>
      </x:c>
      <x:c r="K12" s="25" t="str">
        <x:f>'جميع الضيوف'!K22</x:f>
        <x:v>عمر العيسى</x:v>
      </x:c>
      <x:c r="L12" s="25" t="str">
        <x:f>'جميع الضيوف'!L22</x:f>
        <x:v>تطلب ملف معايير التقييم.</x:v>
      </x:c>
    </x:row>
    <x:row r="13" ht="55" customHeight="1">
      <x:c r="A13" s="30" t="str"/>
      <x:c r="B13" s="25" t="str">
        <x:f>'جميع الضيوف'!B23</x:f>
        <x:v>محكم دولي</x:v>
      </x:c>
      <x:c r="C13" s="25" t="str">
        <x:f>'جميع الضيوف'!C23</x:f>
        <x:v>يوسف حداد</x:v>
      </x:c>
      <x:c r="D13" s="25" t="str">
        <x:f>'جميع الضيوف'!D23</x:f>
        <x:v>خبير صحة عامة دولي</x:v>
      </x:c>
      <x:c r="E13" s="25" t="str">
        <x:f>'جميع الضيوف'!E23</x:f>
        <x:v>الأثر الصحي وتقييم التدخلات</x:v>
      </x:c>
      <x:c r="F13" s="25" t="str">
        <x:f>'جميع الضيوف'!F23</x:f>
        <x:v>المحكمون الدوليون</x:v>
      </x:c>
      <x:c r="G13" s="28" t="str">
        <x:f>'جميع الضيوف'!G23</x:f>
        <x:v>05XX-XXX-0018</x:v>
      </x:c>
      <x:c r="H13" s="28" t="str">
        <x:f>'جميع الضيوف'!H23</x:f>
        <x:v>ij08@example.com</x:v>
      </x:c>
      <x:c r="I13" s="25" t="str">
        <x:f>'جميع الضيوف'!I23</x:f>
        <x:v>بانتظار التأكيد</x:v>
      </x:c>
      <x:c r="J13" s="25" t="str">
        <x:f>'جميع الضيوف'!J23</x:f>
        <x:v>سارة الماجد</x:v>
      </x:c>
      <x:c r="K13" s="25" t="str">
        <x:f>'جميع الضيوف'!K23</x:f>
        <x:v>لُجين المرزوق</x:v>
      </x:c>
      <x:c r="L13" s="25" t="str">
        <x:f>'جميع الضيوف'!L23</x:f>
        <x:v>تحديد نقطة اللقاء في صالة الضيوف.</x:v>
      </x:c>
    </x:row>
    <x:row r="14" ht="55" customHeight="1">
      <x:c r="A14" s="30" t="str"/>
      <x:c r="B14" s="25" t="str">
        <x:f>'جميع الضيوف'!B24</x:f>
        <x:v>محكمة دولية</x:v>
      </x:c>
      <x:c r="C14" s="25" t="str">
        <x:f>'جميع الضيوف'!C24</x:f>
        <x:v>لينا هانسن</x:v>
      </x:c>
      <x:c r="D14" s="25" t="str">
        <x:f>'جميع الضيوف'!D24</x:f>
        <x:v>قائدة تطوير المنتجات الطبية</x:v>
      </x:c>
      <x:c r="E14" s="25" t="str">
        <x:f>'جميع الضيوف'!E24</x:f>
        <x:v>المنتجات الطبية وتجربة المستخدم</x:v>
      </x:c>
      <x:c r="F14" s="25" t="str">
        <x:f>'جميع الضيوف'!F24</x:f>
        <x:v>المحكمون الدوليون</x:v>
      </x:c>
      <x:c r="G14" s="28" t="str">
        <x:f>'جميع الضيوف'!G24</x:f>
        <x:v>05XX-XXX-0019</x:v>
      </x:c>
      <x:c r="H14" s="28" t="str">
        <x:f>'جميع الضيوف'!H24</x:f>
        <x:v>ij09@example.com</x:v>
      </x:c>
      <x:c r="I14" s="25" t="str">
        <x:f>'جميع الضيوف'!I24</x:f>
        <x:v>مؤكد</x:v>
      </x:c>
      <x:c r="J14" s="25" t="str">
        <x:f>'جميع الضيوف'!J24</x:f>
        <x:v>سارة الماجد</x:v>
      </x:c>
      <x:c r="K14" s="25" t="str">
        <x:f>'جميع الضيوف'!K24</x:f>
        <x:v>عبدالإله الشمري</x:v>
      </x:c>
      <x:c r="L14" s="25" t="str">
        <x:f>'جميع الضيوف'!L24</x:f>
        <x:v>يفضل مقعد قريب من المنصة.</x:v>
      </x:c>
    </x:row>
    <x:row r="15" ht="55" customHeight="1">
      <x:c r="A15" s="30" t="str"/>
      <x:c r="B15" s="25" t="str">
        <x:f>'جميع الضيوف'!B25</x:f>
        <x:v>محكم دولي</x:v>
      </x:c>
      <x:c r="C15" s="25" t="str">
        <x:f>'جميع الضيوف'!C25</x:f>
        <x:v>إلياس مورينو</x:v>
      </x:c>
      <x:c r="D15" s="25" t="str">
        <x:f>'جميع الضيوف'!D25</x:f>
        <x:v>مستشار نظم صحية</x:v>
      </x:c>
      <x:c r="E15" s="25" t="str">
        <x:f>'جميع الضيوف'!E25</x:f>
        <x:v>تقييم الأنظمة الصحية</x:v>
      </x:c>
      <x:c r="F15" s="25" t="str">
        <x:f>'جميع الضيوف'!F25</x:f>
        <x:v>المحكمون الدوليون</x:v>
      </x:c>
      <x:c r="G15" s="28" t="str">
        <x:f>'جميع الضيوف'!G25</x:f>
        <x:v>05XX-XXX-0020</x:v>
      </x:c>
      <x:c r="H15" s="28" t="str">
        <x:f>'جميع الضيوف'!H25</x:f>
        <x:v>ij10@example.com</x:v>
      </x:c>
      <x:c r="I15" s="25" t="str">
        <x:f>'جميع الضيوف'!I25</x:f>
        <x:v>اعتذر</x:v>
      </x:c>
      <x:c r="J15" s="25" t="str">
        <x:f>'جميع الضيوف'!J25</x:f>
        <x:v>سارة الماجد</x:v>
      </x:c>
      <x:c r="K15" s="25" t="str">
        <x:f>'جميع الضيوف'!K25</x:f>
        <x:v>عمر العيسى</x:v>
      </x:c>
      <x:c r="L15" s="25" t="str">
        <x:f>'جميع الضيوف'!L25</x:f>
        <x:v>اعتذار تجريبي لاختبار البديل.</x:v>
      </x:c>
    </x:row>
  </x:sheetData>
  <x:mergeCells>
    <x:mergeCell ref="A1:L1"/>
    <x:mergeCell ref="A2:L2"/>
    <x:mergeCell ref="A3:L3"/>
  </x:mergeCells>
  <x:conditionalFormatting sqref="I6:I15">
    <x:cfRule type="expression" dxfId="8" priority="1">
      <x:formula>$I6="مؤكد"</x:formula>
    </x:cfRule>
    <x:cfRule type="expression" dxfId="9" priority="2">
      <x:formula>$I6="بانتظار التأكيد"</x:formula>
    </x:cfRule>
    <x:cfRule type="expression" dxfId="10" priority="3">
      <x:formula>$I6="قيد التنسيق"</x:formula>
    </x:cfRule>
    <x:cfRule type="expression" dxfId="11" priority="4">
      <x:formula>$I6="اعتذر"</x:formula>
    </x:cfRule>
  </x:conditionalFormatting>
  <x:dataValidations count="1">
    <x:dataValidation type="list" sqref="I6:I15">
      <x:formula1>"مؤكد,بانتظار التأكيد,قيد التنسيق,اعتذر"</x:formula1>
    </x:dataValidation>
  </x:dataValidations>
  <x:pageMargins left="0.7" right="0.7" top="0.75" bottom="0.75" header="0.3" footer="0.3"/>
  <x:drawing xmlns:r="http://schemas.openxmlformats.org/officeDocument/2006/relationships" r:id="R06e7e7cb403a488a"/>
  <x:tableParts count="1">
    <x:tablePart xmlns:r="http://schemas.openxmlformats.org/officeDocument/2006/relationships" r:id="Raeff1786af144506"/>
  </x:tableParts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23" hidden="0" customWidth="1"/>
    <x:col min="3" max="3" width="24" hidden="0" customWidth="1"/>
    <x:col min="4" max="4" width="35" hidden="0" customWidth="1"/>
    <x:col min="5" max="5" width="33" hidden="0" customWidth="1"/>
    <x:col min="6" max="6" width="29" hidden="0" customWidth="1"/>
    <x:col min="7" max="7" width="20" hidden="0" customWidth="1"/>
    <x:col min="8" max="8" width="29" hidden="0" customWidth="1"/>
    <x:col min="9" max="9" width="20" hidden="0" customWidth="1"/>
    <x:col min="10" max="10" width="23" hidden="0" customWidth="1"/>
    <x:col min="11" max="11" width="25" hidden="0" customWidth="1"/>
    <x:col min="12" max="12" width="43" hidden="0" customWidth="1"/>
  </x:cols>
  <x:sheetData>
    <x:row r="1" ht="42" customHeight="1">
      <x:c r="A1" s="4" t="str">
        <x:v>EVENTOPS AI | المرشدون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6" customHeight="1">
      <x:c r="A2" s="10" t="str">
        <x:v>بيانات اصطناعية بالكامل | الهواتف غير صالحة للاتصال | البريد على example.com | الصور رمزية | لأغراض اختبار EventOps AI فقط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3" ht="23" customHeight="1">
      <x:c r="A3" s="14" t="str">
        <x:v>عدد الضيوف: 10  •  تعرض هذه الورقة بيانات مرتبطة تلقائيًا بالورقة الرئيسية  •  عدّل السجلات من «جميع الضيوف»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</x:row>
    <x:row r="5" ht="34" customHeight="1">
      <x:c r="A5" s="19" t="str">
        <x:v>الصورة</x:v>
      </x:c>
      <x:c r="B5" s="19" t="str">
        <x:v>نوع الدور</x:v>
      </x:c>
      <x:c r="C5" s="19" t="str">
        <x:v>الاسم</x:v>
      </x:c>
      <x:c r="D5" s="19" t="str">
        <x:v>المسمى الوظيفي</x:v>
      </x:c>
      <x:c r="E5" s="19" t="str">
        <x:v>مجال الخبرة</x:v>
      </x:c>
      <x:c r="F5" s="19" t="str">
        <x:v>المسار</x:v>
      </x:c>
      <x:c r="G5" s="19" t="str">
        <x:v>الجوال</x:v>
      </x:c>
      <x:c r="H5" s="19" t="str">
        <x:v>البريد الإلكتروني</x:v>
      </x:c>
      <x:c r="I5" s="19" t="str">
        <x:v>الحالة / التوفر</x:v>
      </x:c>
      <x:c r="J5" s="19" t="str">
        <x:v>قائد المسار</x:v>
      </x:c>
      <x:c r="K5" s="19" t="str">
        <x:v>مسؤول الاستقبال</x:v>
      </x:c>
      <x:c r="L5" s="19" t="str">
        <x:v>ملاحظات</x:v>
      </x:c>
    </x:row>
    <x:row r="6" ht="55" customHeight="1">
      <x:c r="A6" s="30" t="str"/>
      <x:c r="B6" s="25" t="str">
        <x:f>'جميع الضيوف'!B26</x:f>
        <x:v>مرشدة سريرية</x:v>
      </x:c>
      <x:c r="C6" s="25" t="str">
        <x:f>'جميع الضيوف'!C26</x:f>
        <x:v>عبير القحطاني</x:v>
      </x:c>
      <x:c r="D6" s="25" t="str">
        <x:f>'جميع الضيوف'!D26</x:f>
        <x:v>أخصائية ابتكار سريري</x:v>
      </x:c>
      <x:c r="E6" s="25" t="str">
        <x:f>'جميع الضيوف'!E26</x:f>
        <x:v>الاحتياجات السريرية وسلامة المرضى</x:v>
      </x:c>
      <x:c r="F6" s="25" t="str">
        <x:f>'جميع الضيوف'!F26</x:f>
        <x:v>المرشدون</x:v>
      </x:c>
      <x:c r="G6" s="28" t="str">
        <x:f>'جميع الضيوف'!G26</x:f>
        <x:v>05XX-XXX-0021</x:v>
      </x:c>
      <x:c r="H6" s="28" t="str">
        <x:f>'جميع الضيوف'!H26</x:f>
        <x:v>mnt01@example.com</x:v>
      </x:c>
      <x:c r="I6" s="25" t="str">
        <x:f>'جميع الضيوف'!I26</x:f>
        <x:v>مؤكد</x:v>
      </x:c>
      <x:c r="J6" s="25" t="str">
        <x:f>'جميع الضيوف'!J26</x:f>
        <x:v>فيصل اليامي</x:v>
      </x:c>
      <x:c r="K6" s="25" t="str">
        <x:f>'جميع الضيوف'!K26</x:f>
        <x:v>خولة الشهري</x:v>
      </x:c>
      <x:c r="L6" s="25" t="str">
        <x:f>'جميع الضيوف'!L26</x:f>
        <x:v>تغطية الفترة الصباحية.</x:v>
      </x:c>
    </x:row>
    <x:row r="7" ht="55" customHeight="1">
      <x:c r="A7" s="30" t="str"/>
      <x:c r="B7" s="25" t="str">
        <x:f>'جميع الضيوف'!B27</x:f>
        <x:v>مرشد تقني</x:v>
      </x:c>
      <x:c r="C7" s="25" t="str">
        <x:f>'جميع الضيوف'!C27</x:f>
        <x:v>تركي السهلي</x:v>
      </x:c>
      <x:c r="D7" s="25" t="str">
        <x:f>'جميع الضيوف'!D27</x:f>
        <x:v>مهندس تعلم آلي</x:v>
      </x:c>
      <x:c r="E7" s="25" t="str">
        <x:f>'جميع الضيوف'!E27</x:f>
        <x:v>الذكاء الاصطناعي والنماذج التنبؤية</x:v>
      </x:c>
      <x:c r="F7" s="25" t="str">
        <x:f>'جميع الضيوف'!F27</x:f>
        <x:v>المرشدون</x:v>
      </x:c>
      <x:c r="G7" s="28" t="str">
        <x:f>'جميع الضيوف'!G27</x:f>
        <x:v>05XX-XXX-0022</x:v>
      </x:c>
      <x:c r="H7" s="28" t="str">
        <x:f>'جميع الضيوف'!H27</x:f>
        <x:v>mnt02@example.com</x:v>
      </x:c>
      <x:c r="I7" s="25" t="str">
        <x:f>'جميع الضيوف'!I27</x:f>
        <x:v>مؤكد</x:v>
      </x:c>
      <x:c r="J7" s="25" t="str">
        <x:f>'جميع الضيوف'!J27</x:f>
        <x:v>فيصل اليامي</x:v>
      </x:c>
      <x:c r="K7" s="25" t="str">
        <x:f>'جميع الضيوف'!K27</x:f>
        <x:v>محمد الربيع</x:v>
      </x:c>
      <x:c r="L7" s="25" t="str">
        <x:f>'جميع الضيوف'!L27</x:f>
        <x:v>مخصص لفرق مسار الإنذار المبكر.</x:v>
      </x:c>
    </x:row>
    <x:row r="8" ht="55" customHeight="1">
      <x:c r="A8" s="30" t="str"/>
      <x:c r="B8" s="25" t="str">
        <x:f>'جميع الضيوف'!B28</x:f>
        <x:v>مرشدة بحثية</x:v>
      </x:c>
      <x:c r="C8" s="25" t="str">
        <x:f>'جميع الضيوف'!C28</x:f>
        <x:v>مي البدر</x:v>
      </x:c>
      <x:c r="D8" s="25" t="str">
        <x:f>'جميع الضيوف'!D28</x:f>
        <x:v>باحثة صحة عامة</x:v>
      </x:c>
      <x:c r="E8" s="25" t="str">
        <x:f>'جميع الضيوف'!E28</x:f>
        <x:v>تصميم الدراسات وتقييم الأثر</x:v>
      </x:c>
      <x:c r="F8" s="25" t="str">
        <x:f>'جميع الضيوف'!F28</x:f>
        <x:v>المرشدون</x:v>
      </x:c>
      <x:c r="G8" s="28" t="str">
        <x:f>'جميع الضيوف'!G28</x:f>
        <x:v>05XX-XXX-0023</x:v>
      </x:c>
      <x:c r="H8" s="28" t="str">
        <x:f>'جميع الضيوف'!H28</x:f>
        <x:v>mnt03@example.com</x:v>
      </x:c>
      <x:c r="I8" s="25" t="str">
        <x:f>'جميع الضيوف'!I28</x:f>
        <x:v>بانتظار التأكيد</x:v>
      </x:c>
      <x:c r="J8" s="25" t="str">
        <x:f>'جميع الضيوف'!J28</x:f>
        <x:v>فيصل اليامي</x:v>
      </x:c>
      <x:c r="K8" s="25" t="str">
        <x:f>'جميع الضيوف'!K28</x:f>
        <x:v>غادة المطيري</x:v>
      </x:c>
      <x:c r="L8" s="25" t="str">
        <x:f>'جميع الضيوف'!L28</x:f>
        <x:v>تقديم إرشاد منهجي.</x:v>
      </x:c>
    </x:row>
    <x:row r="9" ht="55" customHeight="1">
      <x:c r="A9" s="30" t="str"/>
      <x:c r="B9" s="25" t="str">
        <x:f>'جميع الضيوف'!B29</x:f>
        <x:v>مرشد هندسي</x:v>
      </x:c>
      <x:c r="C9" s="25" t="str">
        <x:f>'جميع الضيوف'!C29</x:f>
        <x:v>بدر الصالح</x:v>
      </x:c>
      <x:c r="D9" s="25" t="str">
        <x:f>'جميع الضيوف'!D29</x:f>
        <x:v>مهندس أجهزة طبية</x:v>
      </x:c>
      <x:c r="E9" s="25" t="str">
        <x:f>'جميع الضيوف'!E29</x:f>
        <x:v>النماذج الأولية والمستشعرات</x:v>
      </x:c>
      <x:c r="F9" s="25" t="str">
        <x:f>'جميع الضيوف'!F29</x:f>
        <x:v>المرشدون</x:v>
      </x:c>
      <x:c r="G9" s="28" t="str">
        <x:f>'جميع الضيوف'!G29</x:f>
        <x:v>05XX-XXX-0024</x:v>
      </x:c>
      <x:c r="H9" s="28" t="str">
        <x:f>'جميع الضيوف'!H29</x:f>
        <x:v>mnt04@example.com</x:v>
      </x:c>
      <x:c r="I9" s="25" t="str">
        <x:f>'جميع الضيوف'!I29</x:f>
        <x:v>مؤكد</x:v>
      </x:c>
      <x:c r="J9" s="25" t="str">
        <x:f>'جميع الضيوف'!J29</x:f>
        <x:v>فيصل اليامي</x:v>
      </x:c>
      <x:c r="K9" s="25" t="str">
        <x:f>'جميع الضيوف'!K29</x:f>
        <x:v>خولة الشهري</x:v>
      </x:c>
      <x:c r="L9" s="25" t="str">
        <x:f>'جميع الضيوف'!L29</x:f>
        <x:v>بحاجة إلى نقطة عمل داخل المعرض.</x:v>
      </x:c>
    </x:row>
    <x:row r="10" ht="55" customHeight="1">
      <x:c r="A10" s="30" t="str"/>
      <x:c r="B10" s="25" t="str">
        <x:f>'جميع الضيوف'!B30</x:f>
        <x:v>مرشدة أعمال</x:v>
      </x:c>
      <x:c r="C10" s="25" t="str">
        <x:f>'جميع الضيوف'!C30</x:f>
        <x:v>رزان القحطاني</x:v>
      </x:c>
      <x:c r="D10" s="25" t="str">
        <x:f>'جميع الضيوف'!D30</x:f>
        <x:v>مستشارة استراتيجيات ناشئة</x:v>
      </x:c>
      <x:c r="E10" s="25" t="str">
        <x:f>'جميع الضيوف'!E30</x:f>
        <x:v>نماذج الأعمال ودراسة السوق</x:v>
      </x:c>
      <x:c r="F10" s="25" t="str">
        <x:f>'جميع الضيوف'!F30</x:f>
        <x:v>المرشدون</x:v>
      </x:c>
      <x:c r="G10" s="28" t="str">
        <x:f>'جميع الضيوف'!G30</x:f>
        <x:v>05XX-XXX-0025</x:v>
      </x:c>
      <x:c r="H10" s="28" t="str">
        <x:f>'جميع الضيوف'!H30</x:f>
        <x:v>mnt05@example.com</x:v>
      </x:c>
      <x:c r="I10" s="25" t="str">
        <x:f>'جميع الضيوف'!I30</x:f>
        <x:v>قيد التنسيق</x:v>
      </x:c>
      <x:c r="J10" s="25" t="str">
        <x:f>'جميع الضيوف'!J30</x:f>
        <x:v>فيصل اليامي</x:v>
      </x:c>
      <x:c r="K10" s="25" t="str">
        <x:f>'جميع الضيوف'!K30</x:f>
        <x:v>محمد الربيع</x:v>
      </x:c>
      <x:c r="L10" s="25" t="str">
        <x:f>'جميع الضيوف'!L30</x:f>
        <x:v>تغطية فترة ما بعد الظهر.</x:v>
      </x:c>
    </x:row>
    <x:row r="11" ht="55" customHeight="1">
      <x:c r="A11" s="30" t="str"/>
      <x:c r="B11" s="25" t="str">
        <x:f>'جميع الضيوف'!B31</x:f>
        <x:v>مرشد امتثال</x:v>
      </x:c>
      <x:c r="C11" s="25" t="str">
        <x:f>'جميع الضيوف'!C31</x:f>
        <x:v>معاذ الشهري</x:v>
      </x:c>
      <x:c r="D11" s="25" t="str">
        <x:f>'جميع الضيوف'!D31</x:f>
        <x:v>مستشار جودة وتنظيم</x:v>
      </x:c>
      <x:c r="E11" s="25" t="str">
        <x:f>'جميع الضيوف'!E31</x:f>
        <x:v>المتطلبات التنظيمية للأجهزة الطبية</x:v>
      </x:c>
      <x:c r="F11" s="25" t="str">
        <x:f>'جميع الضيوف'!F31</x:f>
        <x:v>المرشدون</x:v>
      </x:c>
      <x:c r="G11" s="28" t="str">
        <x:f>'جميع الضيوف'!G31</x:f>
        <x:v>05XX-XXX-0026</x:v>
      </x:c>
      <x:c r="H11" s="28" t="str">
        <x:f>'جميع الضيوف'!H31</x:f>
        <x:v>mnt06@example.com</x:v>
      </x:c>
      <x:c r="I11" s="25" t="str">
        <x:f>'جميع الضيوف'!I31</x:f>
        <x:v>مؤكد</x:v>
      </x:c>
      <x:c r="J11" s="25" t="str">
        <x:f>'جميع الضيوف'!J31</x:f>
        <x:v>فيصل اليامي</x:v>
      </x:c>
      <x:c r="K11" s="25" t="str">
        <x:f>'جميع الضيوف'!K31</x:f>
        <x:v>غادة المطيري</x:v>
      </x:c>
      <x:c r="L11" s="25" t="str">
        <x:f>'جميع الضيوف'!L31</x:f>
        <x:v>جلسة مراجعة قصيرة للفرق.</x:v>
      </x:c>
    </x:row>
    <x:row r="12" ht="55" customHeight="1">
      <x:c r="A12" s="30" t="str"/>
      <x:c r="B12" s="25" t="str">
        <x:f>'جميع الضيوف'!B32</x:f>
        <x:v>مرشدة تصميم</x:v>
      </x:c>
      <x:c r="C12" s="25" t="str">
        <x:f>'جميع الضيوف'!C32</x:f>
        <x:v>شهد القاسم</x:v>
      </x:c>
      <x:c r="D12" s="25" t="str">
        <x:f>'جميع الضيوف'!D32</x:f>
        <x:v>مصممة تجربة مستخدم</x:v>
      </x:c>
      <x:c r="E12" s="25" t="str">
        <x:f>'جميع الضيوف'!E32</x:f>
        <x:v>تجربة المريض والتصميم الخدمي</x:v>
      </x:c>
      <x:c r="F12" s="25" t="str">
        <x:f>'جميع الضيوف'!F32</x:f>
        <x:v>المرشدون</x:v>
      </x:c>
      <x:c r="G12" s="28" t="str">
        <x:f>'جميع الضيوف'!G32</x:f>
        <x:v>05XX-XXX-0027</x:v>
      </x:c>
      <x:c r="H12" s="28" t="str">
        <x:f>'جميع الضيوف'!H32</x:f>
        <x:v>mnt07@example.com</x:v>
      </x:c>
      <x:c r="I12" s="25" t="str">
        <x:f>'جميع الضيوف'!I32</x:f>
        <x:v>مؤكد</x:v>
      </x:c>
      <x:c r="J12" s="25" t="str">
        <x:f>'جميع الضيوف'!J32</x:f>
        <x:v>فيصل اليامي</x:v>
      </x:c>
      <x:c r="K12" s="25" t="str">
        <x:f>'جميع الضيوف'!K32</x:f>
        <x:v>خولة الشهري</x:v>
      </x:c>
      <x:c r="L12" s="25" t="str">
        <x:f>'جميع الضيوف'!L32</x:f>
        <x:v>مراجعة نماذج العرض.</x:v>
      </x:c>
    </x:row>
    <x:row r="13" ht="55" customHeight="1">
      <x:c r="A13" s="30" t="str"/>
      <x:c r="B13" s="25" t="str">
        <x:f>'جميع الضيوف'!B33</x:f>
        <x:v>مرشد بيانات</x:v>
      </x:c>
      <x:c r="C13" s="25" t="str">
        <x:f>'جميع الضيوف'!C33</x:f>
        <x:v>وليد العبداللطيف</x:v>
      </x:c>
      <x:c r="D13" s="25" t="str">
        <x:f>'جميع الضيوف'!D33</x:f>
        <x:v>مهندس بيانات</x:v>
      </x:c>
      <x:c r="E13" s="25" t="str">
        <x:f>'جميع الضيوف'!E33</x:f>
        <x:v>البنية السحابية وتكامل البيانات</x:v>
      </x:c>
      <x:c r="F13" s="25" t="str">
        <x:f>'جميع الضيوف'!F33</x:f>
        <x:v>المرشدون</x:v>
      </x:c>
      <x:c r="G13" s="28" t="str">
        <x:f>'جميع الضيوف'!G33</x:f>
        <x:v>05XX-XXX-0028</x:v>
      </x:c>
      <x:c r="H13" s="28" t="str">
        <x:f>'جميع الضيوف'!H33</x:f>
        <x:v>mnt08@example.com</x:v>
      </x:c>
      <x:c r="I13" s="25" t="str">
        <x:f>'جميع الضيوف'!I33</x:f>
        <x:v>بانتظار التأكيد</x:v>
      </x:c>
      <x:c r="J13" s="25" t="str">
        <x:f>'جميع الضيوف'!J33</x:f>
        <x:v>فيصل اليامي</x:v>
      </x:c>
      <x:c r="K13" s="25" t="str">
        <x:f>'جميع الضيوف'!K33</x:f>
        <x:v>محمد الربيع</x:v>
      </x:c>
      <x:c r="L13" s="25" t="str">
        <x:f>'جميع الضيوف'!L33</x:f>
        <x:v>التنسيق مع اللجنة التقنية.</x:v>
      </x:c>
    </x:row>
    <x:row r="14" ht="55" customHeight="1">
      <x:c r="A14" s="30" t="str"/>
      <x:c r="B14" s="25" t="str">
        <x:f>'جميع الضيوف'!B34</x:f>
        <x:v>مرشدة ريادة أعمال</x:v>
      </x:c>
      <x:c r="C14" s="25" t="str">
        <x:f>'جميع الضيوف'!C34</x:f>
        <x:v>أروى الحربي</x:v>
      </x:c>
      <x:c r="D14" s="25" t="str">
        <x:f>'جميع الضيوف'!D34</x:f>
        <x:v>مستشارة تطوير مشاريع</x:v>
      </x:c>
      <x:c r="E14" s="25" t="str">
        <x:f>'جميع الضيوف'!E34</x:f>
        <x:v>التسويق والتحقق من المشكلة</x:v>
      </x:c>
      <x:c r="F14" s="25" t="str">
        <x:f>'جميع الضيوف'!F34</x:f>
        <x:v>المرشدون</x:v>
      </x:c>
      <x:c r="G14" s="28" t="str">
        <x:f>'جميع الضيوف'!G34</x:f>
        <x:v>05XX-XXX-0029</x:v>
      </x:c>
      <x:c r="H14" s="28" t="str">
        <x:f>'جميع الضيوف'!H34</x:f>
        <x:v>mnt09@example.com</x:v>
      </x:c>
      <x:c r="I14" s="25" t="str">
        <x:f>'جميع الضيوف'!I34</x:f>
        <x:v>مؤكد</x:v>
      </x:c>
      <x:c r="J14" s="25" t="str">
        <x:f>'جميع الضيوف'!J34</x:f>
        <x:v>فيصل اليامي</x:v>
      </x:c>
      <x:c r="K14" s="25" t="str">
        <x:f>'جميع الضيوف'!K34</x:f>
        <x:v>غادة المطيري</x:v>
      </x:c>
      <x:c r="L14" s="25" t="str">
        <x:f>'جميع الضيوف'!L34</x:f>
        <x:v>طلب قائمة الفرق قبل المناوبة.</x:v>
      </x:c>
    </x:row>
    <x:row r="15" ht="55" customHeight="1">
      <x:c r="A15" s="30" t="str"/>
      <x:c r="B15" s="25" t="str">
        <x:f>'جميع الضيوف'!B35</x:f>
        <x:v>مرشد أمن معلومات</x:v>
      </x:c>
      <x:c r="C15" s="25" t="str">
        <x:f>'جميع الضيوف'!C35</x:f>
        <x:v>نايف الزهراني</x:v>
      </x:c>
      <x:c r="D15" s="25" t="str">
        <x:f>'جميع الضيوف'!D35</x:f>
        <x:v>مختص أمن سيبراني</x:v>
      </x:c>
      <x:c r="E15" s="25" t="str">
        <x:f>'جميع الضيوف'!E35</x:f>
        <x:v>أمن المعلومات في التطبيقات الصحية</x:v>
      </x:c>
      <x:c r="F15" s="25" t="str">
        <x:f>'جميع الضيوف'!F35</x:f>
        <x:v>المرشدون</x:v>
      </x:c>
      <x:c r="G15" s="28" t="str">
        <x:f>'جميع الضيوف'!G35</x:f>
        <x:v>05XX-XXX-0030</x:v>
      </x:c>
      <x:c r="H15" s="28" t="str">
        <x:f>'جميع الضيوف'!H35</x:f>
        <x:v>mnt10@example.com</x:v>
      </x:c>
      <x:c r="I15" s="25" t="str">
        <x:f>'جميع الضيوف'!I35</x:f>
        <x:v>اعتذر</x:v>
      </x:c>
      <x:c r="J15" s="25" t="str">
        <x:f>'جميع الضيوف'!J35</x:f>
        <x:v>فيصل اليامي</x:v>
      </x:c>
      <x:c r="K15" s="25" t="str">
        <x:f>'جميع الضيوف'!K35</x:f>
        <x:v>خولة الشهري</x:v>
      </x:c>
      <x:c r="L15" s="25" t="str">
        <x:f>'جميع الضيوف'!L35</x:f>
        <x:v>اعتذار تجريبي لاختبار البدائل.</x:v>
      </x:c>
    </x:row>
  </x:sheetData>
  <x:mergeCells>
    <x:mergeCell ref="A1:L1"/>
    <x:mergeCell ref="A2:L2"/>
    <x:mergeCell ref="A3:L3"/>
  </x:mergeCells>
  <x:conditionalFormatting sqref="I6:I15">
    <x:cfRule type="expression" dxfId="12" priority="1">
      <x:formula>$I6="مؤكد"</x:formula>
    </x:cfRule>
    <x:cfRule type="expression" dxfId="13" priority="2">
      <x:formula>$I6="بانتظار التأكيد"</x:formula>
    </x:cfRule>
    <x:cfRule type="expression" dxfId="14" priority="3">
      <x:formula>$I6="قيد التنسيق"</x:formula>
    </x:cfRule>
    <x:cfRule type="expression" dxfId="15" priority="4">
      <x:formula>$I6="اعتذر"</x:formula>
    </x:cfRule>
  </x:conditionalFormatting>
  <x:dataValidations count="1">
    <x:dataValidation type="list" sqref="I6:I15">
      <x:formula1>"مؤكد,بانتظار التأكيد,قيد التنسيق,اعتذر"</x:formula1>
    </x:dataValidation>
  </x:dataValidations>
  <x:pageMargins left="0.7" right="0.7" top="0.75" bottom="0.75" header="0.3" footer="0.3"/>
  <x:drawing xmlns:r="http://schemas.openxmlformats.org/officeDocument/2006/relationships" r:id="R07cc3772ca2646f5"/>
  <x:tableParts count="1">
    <x:tablePart xmlns:r="http://schemas.openxmlformats.org/officeDocument/2006/relationships" r:id="R13366593f0164324"/>
  </x:tableParts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23" hidden="0" customWidth="1"/>
    <x:col min="3" max="3" width="24" hidden="0" customWidth="1"/>
    <x:col min="4" max="4" width="35" hidden="0" customWidth="1"/>
    <x:col min="5" max="5" width="33" hidden="0" customWidth="1"/>
    <x:col min="6" max="6" width="29" hidden="0" customWidth="1"/>
    <x:col min="7" max="7" width="20" hidden="0" customWidth="1"/>
    <x:col min="8" max="8" width="29" hidden="0" customWidth="1"/>
    <x:col min="9" max="9" width="20" hidden="0" customWidth="1"/>
    <x:col min="10" max="10" width="23" hidden="0" customWidth="1"/>
    <x:col min="11" max="11" width="25" hidden="0" customWidth="1"/>
    <x:col min="12" max="12" width="43" hidden="0" customWidth="1"/>
  </x:cols>
  <x:sheetData>
    <x:row r="1" ht="42" customHeight="1">
      <x:c r="A1" s="4" t="str">
        <x:v>EVENTOPS AI | محكمو معرض الابتكار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6" customHeight="1">
      <x:c r="A2" s="10" t="str">
        <x:v>بيانات اصطناعية بالكامل | الهواتف غير صالحة للاتصال | البريد على example.com | الصور رمزية | لأغراض اختبار EventOps AI فقط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3" ht="23" customHeight="1">
      <x:c r="A3" s="14" t="str">
        <x:v>عدد الضيوف: 10  •  تعرض هذه الورقة بيانات مرتبطة تلقائيًا بالورقة الرئيسية  •  عدّل السجلات من «جميع الضيوف»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</x:row>
    <x:row r="5" ht="34" customHeight="1">
      <x:c r="A5" s="19" t="str">
        <x:v>الصورة</x:v>
      </x:c>
      <x:c r="B5" s="19" t="str">
        <x:v>نوع الدور</x:v>
      </x:c>
      <x:c r="C5" s="19" t="str">
        <x:v>الاسم</x:v>
      </x:c>
      <x:c r="D5" s="19" t="str">
        <x:v>المسمى الوظيفي</x:v>
      </x:c>
      <x:c r="E5" s="19" t="str">
        <x:v>مجال الخبرة</x:v>
      </x:c>
      <x:c r="F5" s="19" t="str">
        <x:v>المسار</x:v>
      </x:c>
      <x:c r="G5" s="19" t="str">
        <x:v>الجوال</x:v>
      </x:c>
      <x:c r="H5" s="19" t="str">
        <x:v>البريد الإلكتروني</x:v>
      </x:c>
      <x:c r="I5" s="19" t="str">
        <x:v>الحالة / التوفر</x:v>
      </x:c>
      <x:c r="J5" s="19" t="str">
        <x:v>قائد المسار</x:v>
      </x:c>
      <x:c r="K5" s="19" t="str">
        <x:v>مسؤول الاستقبال</x:v>
      </x:c>
      <x:c r="L5" s="19" t="str">
        <x:v>ملاحظات</x:v>
      </x:c>
    </x:row>
    <x:row r="6" ht="55" customHeight="1">
      <x:c r="A6" s="30" t="str"/>
      <x:c r="B6" s="25" t="str">
        <x:f>'جميع الضيوف'!B36</x:f>
        <x:v>محكم معرض</x:v>
      </x:c>
      <x:c r="C6" s="25" t="str">
        <x:f>'جميع الضيوف'!C36</x:f>
        <x:v>هيثم البدر</x:v>
      </x:c>
      <x:c r="D6" s="25" t="str">
        <x:f>'جميع الضيوف'!D36</x:f>
        <x:v>خبير تصميم حلول ابتكارية</x:v>
      </x:c>
      <x:c r="E6" s="25" t="str">
        <x:f>'جميع الضيوف'!E36</x:f>
        <x:v>أصالة الفكرة وقابلية التطبيق</x:v>
      </x:c>
      <x:c r="F6" s="25" t="str">
        <x:f>'جميع الضيوف'!F36</x:f>
        <x:v>محكمو معرض الابتكار</x:v>
      </x:c>
      <x:c r="G6" s="28" t="str">
        <x:f>'جميع الضيوف'!G36</x:f>
        <x:v>05XX-XXX-0031</x:v>
      </x:c>
      <x:c r="H6" s="28" t="str">
        <x:f>'جميع الضيوف'!H36</x:f>
        <x:v>exj01@example.com</x:v>
      </x:c>
      <x:c r="I6" s="25" t="str">
        <x:f>'جميع الضيوف'!I36</x:f>
        <x:v>مؤكد</x:v>
      </x:c>
      <x:c r="J6" s="25" t="str">
        <x:f>'جميع الضيوف'!J36</x:f>
        <x:v>مي العبدالله</x:v>
      </x:c>
      <x:c r="K6" s="25" t="str">
        <x:f>'جميع الضيوف'!K36</x:f>
        <x:v>يزن الرشيد</x:v>
      </x:c>
      <x:c r="L6" s="25" t="str">
        <x:f>'جميع الضيوف'!L36</x:f>
        <x:v>الجولة الأولى للأجنحة 1–4.</x:v>
      </x:c>
    </x:row>
    <x:row r="7" ht="55" customHeight="1">
      <x:c r="A7" s="30" t="str"/>
      <x:c r="B7" s="25" t="str">
        <x:f>'جميع الضيوف'!B37</x:f>
        <x:v>محكمة معرض</x:v>
      </x:c>
      <x:c r="C7" s="25" t="str">
        <x:f>'جميع الضيوف'!C37</x:f>
        <x:v>سلوى القحطاني</x:v>
      </x:c>
      <x:c r="D7" s="25" t="str">
        <x:f>'جميع الضيوف'!D37</x:f>
        <x:v>أخصائية سلامة مرضى</x:v>
      </x:c>
      <x:c r="E7" s="25" t="str">
        <x:f>'جميع الضيوف'!E37</x:f>
        <x:v>الأثر على سلامة المرضى</x:v>
      </x:c>
      <x:c r="F7" s="25" t="str">
        <x:f>'جميع الضيوف'!F37</x:f>
        <x:v>محكمو معرض الابتكار</x:v>
      </x:c>
      <x:c r="G7" s="28" t="str">
        <x:f>'جميع الضيوف'!G37</x:f>
        <x:v>05XX-XXX-0032</x:v>
      </x:c>
      <x:c r="H7" s="28" t="str">
        <x:f>'جميع الضيوف'!H37</x:f>
        <x:v>exj02@example.com</x:v>
      </x:c>
      <x:c r="I7" s="25" t="str">
        <x:f>'جميع الضيوف'!I37</x:f>
        <x:v>مؤكد</x:v>
      </x:c>
      <x:c r="J7" s="25" t="str">
        <x:f>'جميع الضيوف'!J37</x:f>
        <x:v>مي العبدالله</x:v>
      </x:c>
      <x:c r="K7" s="25" t="str">
        <x:f>'جميع الضيوف'!K37</x:f>
        <x:v>الجوهرة الشهري</x:v>
      </x:c>
      <x:c r="L7" s="25" t="str">
        <x:f>'جميع الضيوف'!L37</x:f>
        <x:v>ترغب في نسخة معايير التقييم.</x:v>
      </x:c>
    </x:row>
    <x:row r="8" ht="55" customHeight="1">
      <x:c r="A8" s="30" t="str"/>
      <x:c r="B8" s="25" t="str">
        <x:f>'جميع الضيوف'!B38</x:f>
        <x:v>محكم معرض</x:v>
      </x:c>
      <x:c r="C8" s="25" t="str">
        <x:f>'جميع الضيوف'!C38</x:f>
        <x:v>حسان الجهني</x:v>
      </x:c>
      <x:c r="D8" s="25" t="str">
        <x:f>'جميع الضيوف'!D38</x:f>
        <x:v>خبير أجهزة ذكية</x:v>
      </x:c>
      <x:c r="E8" s="25" t="str">
        <x:f>'جميع الضيوف'!E38</x:f>
        <x:v>جودة النموذج الأولي</x:v>
      </x:c>
      <x:c r="F8" s="25" t="str">
        <x:f>'جميع الضيوف'!F38</x:f>
        <x:v>محكمو معرض الابتكار</x:v>
      </x:c>
      <x:c r="G8" s="28" t="str">
        <x:f>'جميع الضيوف'!G38</x:f>
        <x:v>05XX-XXX-0033</x:v>
      </x:c>
      <x:c r="H8" s="28" t="str">
        <x:f>'جميع الضيوف'!H38</x:f>
        <x:v>exj03@example.com</x:v>
      </x:c>
      <x:c r="I8" s="25" t="str">
        <x:f>'جميع الضيوف'!I38</x:f>
        <x:v>بانتظار التأكيد</x:v>
      </x:c>
      <x:c r="J8" s="25" t="str">
        <x:f>'جميع الضيوف'!J38</x:f>
        <x:v>مي العبدالله</x:v>
      </x:c>
      <x:c r="K8" s="25" t="str">
        <x:f>'جميع الضيوف'!K38</x:f>
        <x:v>فيصل العسيري</x:v>
      </x:c>
      <x:c r="L8" s="25" t="str">
        <x:f>'جميع الضيوف'!L38</x:f>
        <x:v>الأجنحة 5–8.</x:v>
      </x:c>
    </x:row>
    <x:row r="9" ht="55" customHeight="1">
      <x:c r="A9" s="30" t="str"/>
      <x:c r="B9" s="25" t="str">
        <x:f>'جميع الضيوف'!B39</x:f>
        <x:v>محكمة معرض</x:v>
      </x:c>
      <x:c r="C9" s="25" t="str">
        <x:f>'جميع الضيوف'!C39</x:f>
        <x:v>ريم الحارثي</x:v>
      </x:c>
      <x:c r="D9" s="25" t="str">
        <x:f>'جميع الضيوف'!D39</x:f>
        <x:v>مستشارة ابتكار صحي</x:v>
      </x:c>
      <x:c r="E9" s="25" t="str">
        <x:f>'جميع الضيوف'!E39</x:f>
        <x:v>الأثر السريري للحلول</x:v>
      </x:c>
      <x:c r="F9" s="25" t="str">
        <x:f>'جميع الضيوف'!F39</x:f>
        <x:v>محكمو معرض الابتكار</x:v>
      </x:c>
      <x:c r="G9" s="28" t="str">
        <x:f>'جميع الضيوف'!G39</x:f>
        <x:v>05XX-XXX-0034</x:v>
      </x:c>
      <x:c r="H9" s="28" t="str">
        <x:f>'جميع الضيوف'!H39</x:f>
        <x:v>exj04@example.com</x:v>
      </x:c>
      <x:c r="I9" s="25" t="str">
        <x:f>'جميع الضيوف'!I39</x:f>
        <x:v>مؤكد</x:v>
      </x:c>
      <x:c r="J9" s="25" t="str">
        <x:f>'جميع الضيوف'!J39</x:f>
        <x:v>مي العبدالله</x:v>
      </x:c>
      <x:c r="K9" s="25" t="str">
        <x:f>'جميع الضيوف'!K39</x:f>
        <x:v>يزن الرشيد</x:v>
      </x:c>
      <x:c r="L9" s="25" t="str">
        <x:f>'جميع الضيوف'!L39</x:f>
        <x:v>بحاجة إلى تعريف بمواقع الأجنحة.</x:v>
      </x:c>
    </x:row>
    <x:row r="10" ht="55" customHeight="1">
      <x:c r="A10" s="30" t="str"/>
      <x:c r="B10" s="25" t="str">
        <x:f>'جميع الضيوف'!B40</x:f>
        <x:v>محكم معرض</x:v>
      </x:c>
      <x:c r="C10" s="25" t="str">
        <x:f>'جميع الضيوف'!C40</x:f>
        <x:v>مازن التركي</x:v>
      </x:c>
      <x:c r="D10" s="25" t="str">
        <x:f>'جميع الضيوف'!D40</x:f>
        <x:v>باحث هندسة حيوية</x:v>
      </x:c>
      <x:c r="E10" s="25" t="str">
        <x:f>'جميع الضيوف'!E40</x:f>
        <x:v>منهجية التحقق والتجارب</x:v>
      </x:c>
      <x:c r="F10" s="25" t="str">
        <x:f>'جميع الضيوف'!F40</x:f>
        <x:v>محكمو معرض الابتكار</x:v>
      </x:c>
      <x:c r="G10" s="28" t="str">
        <x:f>'جميع الضيوف'!G40</x:f>
        <x:v>05XX-XXX-0035</x:v>
      </x:c>
      <x:c r="H10" s="28" t="str">
        <x:f>'جميع الضيوف'!H40</x:f>
        <x:v>exj05@example.com</x:v>
      </x:c>
      <x:c r="I10" s="25" t="str">
        <x:f>'جميع الضيوف'!I40</x:f>
        <x:v>قيد التنسيق</x:v>
      </x:c>
      <x:c r="J10" s="25" t="str">
        <x:f>'جميع الضيوف'!J40</x:f>
        <x:v>مي العبدالله</x:v>
      </x:c>
      <x:c r="K10" s="25" t="str">
        <x:f>'جميع الضيوف'!K40</x:f>
        <x:v>الجوهرة الشهري</x:v>
      </x:c>
      <x:c r="L10" s="25" t="str">
        <x:f>'جميع الضيوف'!L40</x:f>
        <x:v>مراجعة الأدلة الأولية.</x:v>
      </x:c>
    </x:row>
    <x:row r="11" ht="55" customHeight="1">
      <x:c r="A11" s="30" t="str"/>
      <x:c r="B11" s="25" t="str">
        <x:f>'جميع الضيوف'!B41</x:f>
        <x:v>محكمة معرض</x:v>
      </x:c>
      <x:c r="C11" s="25" t="str">
        <x:f>'جميع الضيوف'!C41</x:f>
        <x:v>جود المطيري</x:v>
      </x:c>
      <x:c r="D11" s="25" t="str">
        <x:f>'جميع الضيوف'!D41</x:f>
        <x:v>خبيرة تجربة مستخدم</x:v>
      </x:c>
      <x:c r="E11" s="25" t="str">
        <x:f>'جميع الضيوف'!E41</x:f>
        <x:v>سهولة الاستخدام وإتاحة الوصول</x:v>
      </x:c>
      <x:c r="F11" s="25" t="str">
        <x:f>'جميع الضيوف'!F41</x:f>
        <x:v>محكمو معرض الابتكار</x:v>
      </x:c>
      <x:c r="G11" s="28" t="str">
        <x:f>'جميع الضيوف'!G41</x:f>
        <x:v>05XX-XXX-0036</x:v>
      </x:c>
      <x:c r="H11" s="28" t="str">
        <x:f>'جميع الضيوف'!H41</x:f>
        <x:v>exj06@example.com</x:v>
      </x:c>
      <x:c r="I11" s="25" t="str">
        <x:f>'جميع الضيوف'!I41</x:f>
        <x:v>مؤكد</x:v>
      </x:c>
      <x:c r="J11" s="25" t="str">
        <x:f>'جميع الضيوف'!J41</x:f>
        <x:v>مي العبدالله</x:v>
      </x:c>
      <x:c r="K11" s="25" t="str">
        <x:f>'جميع الضيوف'!K41</x:f>
        <x:v>فيصل العسيري</x:v>
      </x:c>
      <x:c r="L11" s="25" t="str">
        <x:f>'جميع الضيوف'!L41</x:f>
        <x:v>تجهيز مسار جولة ميسر.</x:v>
      </x:c>
    </x:row>
    <x:row r="12" ht="55" customHeight="1">
      <x:c r="A12" s="30" t="str"/>
      <x:c r="B12" s="25" t="str">
        <x:f>'جميع الضيوف'!B42</x:f>
        <x:v>محكم معرض</x:v>
      </x:c>
      <x:c r="C12" s="25" t="str">
        <x:f>'جميع الضيوف'!C42</x:f>
        <x:v>سيف الهاجري</x:v>
      </x:c>
      <x:c r="D12" s="25" t="str">
        <x:f>'جميع الضيوف'!D42</x:f>
        <x:v>مستشار تمويل ابتكارات</x:v>
      </x:c>
      <x:c r="E12" s="25" t="str">
        <x:f>'جميع الضيوف'!E42</x:f>
        <x:v>الاستدامة المالية والتوسع</x:v>
      </x:c>
      <x:c r="F12" s="25" t="str">
        <x:f>'جميع الضيوف'!F42</x:f>
        <x:v>محكمو معرض الابتكار</x:v>
      </x:c>
      <x:c r="G12" s="28" t="str">
        <x:f>'جميع الضيوف'!G42</x:f>
        <x:v>05XX-XXX-0037</x:v>
      </x:c>
      <x:c r="H12" s="28" t="str">
        <x:f>'جميع الضيوف'!H42</x:f>
        <x:v>exj07@example.com</x:v>
      </x:c>
      <x:c r="I12" s="25" t="str">
        <x:f>'جميع الضيوف'!I42</x:f>
        <x:v>مؤكد</x:v>
      </x:c>
      <x:c r="J12" s="25" t="str">
        <x:f>'جميع الضيوف'!J42</x:f>
        <x:v>مي العبدالله</x:v>
      </x:c>
      <x:c r="K12" s="25" t="str">
        <x:f>'جميع الضيوف'!K42</x:f>
        <x:v>يزن الرشيد</x:v>
      </x:c>
      <x:c r="L12" s="25" t="str">
        <x:f>'جميع الضيوف'!L42</x:f>
        <x:v>تحديد موعد الجولة الثانية.</x:v>
      </x:c>
    </x:row>
    <x:row r="13" ht="55" customHeight="1">
      <x:c r="A13" s="30" t="str"/>
      <x:c r="B13" s="25" t="str">
        <x:f>'جميع الضيوف'!B43</x:f>
        <x:v>محكمة معرض</x:v>
      </x:c>
      <x:c r="C13" s="25" t="str">
        <x:f>'جميع الضيوف'!C43</x:f>
        <x:v>نور السبيعي</x:v>
      </x:c>
      <x:c r="D13" s="25" t="str">
        <x:f>'جميع الضيوف'!D43</x:f>
        <x:v>باحثة نظم صحية</x:v>
      </x:c>
      <x:c r="E13" s="25" t="str">
        <x:f>'جميع الضيوف'!E43</x:f>
        <x:v>ملاءمة الحل للاحتياج الصحي</x:v>
      </x:c>
      <x:c r="F13" s="25" t="str">
        <x:f>'جميع الضيوف'!F43</x:f>
        <x:v>محكمو معرض الابتكار</x:v>
      </x:c>
      <x:c r="G13" s="28" t="str">
        <x:f>'جميع الضيوف'!G43</x:f>
        <x:v>05XX-XXX-0038</x:v>
      </x:c>
      <x:c r="H13" s="28" t="str">
        <x:f>'جميع الضيوف'!H43</x:f>
        <x:v>exj08@example.com</x:v>
      </x:c>
      <x:c r="I13" s="25" t="str">
        <x:f>'جميع الضيوف'!I43</x:f>
        <x:v>بانتظار التأكيد</x:v>
      </x:c>
      <x:c r="J13" s="25" t="str">
        <x:f>'جميع الضيوف'!J43</x:f>
        <x:v>مي العبدالله</x:v>
      </x:c>
      <x:c r="K13" s="25" t="str">
        <x:f>'جميع الضيوف'!K43</x:f>
        <x:v>الجوهرة الشهري</x:v>
      </x:c>
      <x:c r="L13" s="25" t="str">
        <x:f>'جميع الضيوف'!L43</x:f>
        <x:v>تنسيق زيارة جناح البحث.</x:v>
      </x:c>
    </x:row>
    <x:row r="14" ht="55" customHeight="1">
      <x:c r="A14" s="30" t="str"/>
      <x:c r="B14" s="25" t="str">
        <x:f>'جميع الضيوف'!B44</x:f>
        <x:v>محكم معرض</x:v>
      </x:c>
      <x:c r="C14" s="25" t="str">
        <x:f>'جميع الضيوف'!C44</x:f>
        <x:v>فارس الغامدي</x:v>
      </x:c>
      <x:c r="D14" s="25" t="str">
        <x:f>'جميع الضيوف'!D44</x:f>
        <x:v>مهندس حلول رقمية</x:v>
      </x:c>
      <x:c r="E14" s="25" t="str">
        <x:f>'جميع الضيوف'!E44</x:f>
        <x:v>التكامل التقني وقابلية التشغيل</x:v>
      </x:c>
      <x:c r="F14" s="25" t="str">
        <x:f>'جميع الضيوف'!F44</x:f>
        <x:v>محكمو معرض الابتكار</x:v>
      </x:c>
      <x:c r="G14" s="28" t="str">
        <x:f>'جميع الضيوف'!G44</x:f>
        <x:v>05XX-XXX-0039</x:v>
      </x:c>
      <x:c r="H14" s="28" t="str">
        <x:f>'جميع الضيوف'!H44</x:f>
        <x:v>exj09@example.com</x:v>
      </x:c>
      <x:c r="I14" s="25" t="str">
        <x:f>'جميع الضيوف'!I44</x:f>
        <x:v>مؤكد</x:v>
      </x:c>
      <x:c r="J14" s="25" t="str">
        <x:f>'جميع الضيوف'!J44</x:f>
        <x:v>مي العبدالله</x:v>
      </x:c>
      <x:c r="K14" s="25" t="str">
        <x:f>'جميع الضيوف'!K44</x:f>
        <x:v>فيصل العسيري</x:v>
      </x:c>
      <x:c r="L14" s="25" t="str">
        <x:f>'جميع الضيوف'!L44</x:f>
        <x:v>يرغب في تجربة العروض الحية.</x:v>
      </x:c>
    </x:row>
    <x:row r="15" ht="55" customHeight="1">
      <x:c r="A15" s="30" t="str"/>
      <x:c r="B15" s="25" t="str">
        <x:f>'جميع الضيوف'!B45</x:f>
        <x:v>محكمة معرض</x:v>
      </x:c>
      <x:c r="C15" s="25" t="str">
        <x:f>'جميع الضيوف'!C45</x:f>
        <x:v>نجلاء العتيق</x:v>
      </x:c>
      <x:c r="D15" s="25" t="str">
        <x:f>'جميع الضيوف'!D45</x:f>
        <x:v>مختصة تقييم برامج</x:v>
      </x:c>
      <x:c r="E15" s="25" t="str">
        <x:f>'جميع الضيوف'!E45</x:f>
        <x:v>قابلية القياس ومؤشرات الأداء</x:v>
      </x:c>
      <x:c r="F15" s="25" t="str">
        <x:f>'جميع الضيوف'!F45</x:f>
        <x:v>محكمو معرض الابتكار</x:v>
      </x:c>
      <x:c r="G15" s="28" t="str">
        <x:f>'جميع الضيوف'!G45</x:f>
        <x:v>05XX-XXX-0040</x:v>
      </x:c>
      <x:c r="H15" s="28" t="str">
        <x:f>'جميع الضيوف'!H45</x:f>
        <x:v>exj10@example.com</x:v>
      </x:c>
      <x:c r="I15" s="25" t="str">
        <x:f>'جميع الضيوف'!I45</x:f>
        <x:v>اعتذر</x:v>
      </x:c>
      <x:c r="J15" s="25" t="str">
        <x:f>'جميع الضيوف'!J45</x:f>
        <x:v>مي العبدالله</x:v>
      </x:c>
      <x:c r="K15" s="25" t="str">
        <x:f>'جميع الضيوف'!K45</x:f>
        <x:v>يزن الرشيد</x:v>
      </x:c>
      <x:c r="L15" s="25" t="str">
        <x:f>'جميع الضيوف'!L45</x:f>
        <x:v>اعتذار تجريبي لاختبار إعادة التوزيع.</x:v>
      </x:c>
    </x:row>
  </x:sheetData>
  <x:mergeCells>
    <x:mergeCell ref="A1:L1"/>
    <x:mergeCell ref="A2:L2"/>
    <x:mergeCell ref="A3:L3"/>
  </x:mergeCells>
  <x:conditionalFormatting sqref="I6:I15">
    <x:cfRule type="expression" dxfId="16" priority="1">
      <x:formula>$I6="مؤكد"</x:formula>
    </x:cfRule>
    <x:cfRule type="expression" dxfId="17" priority="2">
      <x:formula>$I6="بانتظار التأكيد"</x:formula>
    </x:cfRule>
    <x:cfRule type="expression" dxfId="18" priority="3">
      <x:formula>$I6="قيد التنسيق"</x:formula>
    </x:cfRule>
    <x:cfRule type="expression" dxfId="19" priority="4">
      <x:formula>$I6="اعتذر"</x:formula>
    </x:cfRule>
  </x:conditionalFormatting>
  <x:dataValidations count="1">
    <x:dataValidation type="list" sqref="I6:I15">
      <x:formula1>"مؤكد,بانتظار التأكيد,قيد التنسيق,اعتذر"</x:formula1>
    </x:dataValidation>
  </x:dataValidations>
  <x:pageMargins left="0.7" right="0.7" top="0.75" bottom="0.75" header="0.3" footer="0.3"/>
  <x:drawing xmlns:r="http://schemas.openxmlformats.org/officeDocument/2006/relationships" r:id="R847576d055234020"/>
  <x:tableParts count="1">
    <x:tablePart xmlns:r="http://schemas.openxmlformats.org/officeDocument/2006/relationships" r:id="Rfc775bcd10be4343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3" hidden="0" customWidth="1"/>
    <x:col min="8" max="8" width="23" hidden="0" customWidth="1"/>
  </x:cols>
  <x:sheetData>
    <x:row r="1" ht="48" customHeight="1">
      <x:c r="A1" s="32" t="str">
        <x:v>EVENTOPS AI  |  لوحة بيانات الضيوف التجريبية</x:v>
      </x:c>
      <x:c r="B1" s="32"/>
      <x:c r="C1" s="32"/>
      <x:c r="D1" s="32"/>
      <x:c r="E1" s="32"/>
      <x:c r="F1" s="32"/>
      <x:c r="G1" s="32"/>
      <x:c r="H1" s="32"/>
    </x:row>
    <x:row r="2" ht="28" customHeight="1">
      <x:c r="A2" s="35" t="str">
        <x:v>40 شخصية خيالية • 4 مسارات • صور رمزية • أرقام غير قابلة للاتصال • بريد example.com</x:v>
      </x:c>
      <x:c r="B2" s="35"/>
      <x:c r="C2" s="35"/>
      <x:c r="D2" s="35"/>
      <x:c r="E2" s="35"/>
      <x:c r="F2" s="35"/>
      <x:c r="G2" s="35"/>
      <x:c r="H2" s="35"/>
    </x:row>
    <x:row r="4" ht="32" customHeight="1">
      <x:c r="A4" s="40" t="str">
        <x:v>المسار</x:v>
      </x:c>
      <x:c r="B4" s="40" t="str">
        <x:v>إجمالي الضيوف</x:v>
      </x:c>
      <x:c r="C4" s="40" t="str">
        <x:v>مؤكد</x:v>
      </x:c>
      <x:c r="D4" s="40" t="str">
        <x:v>بانتظار التأكيد</x:v>
      </x:c>
      <x:c r="E4" s="40" t="str">
        <x:v>قيد التنسيق</x:v>
      </x:c>
      <x:c r="F4" s="40" t="str">
        <x:v>اعتذر</x:v>
      </x:c>
    </x:row>
    <x:row r="5" ht="30" customHeight="1">
      <x:c r="A5" s="25" t="str">
        <x:v>المستثمرون – يوم العروض</x:v>
      </x:c>
      <x:c r="B5" s="25" t="n">
        <x:f>COUNTIF('جميع الضيوف'!$F$6:$F$45,A5)</x:f>
        <x:v>10</x:v>
      </x:c>
      <x:c r="C5" s="25" t="n">
        <x:f>COUNTIFS('جميع الضيوف'!$F$6:$F$45,$A5,'جميع الضيوف'!$I$6:$I$45,C$4)</x:f>
        <x:v>6</x:v>
      </x:c>
      <x:c r="D5" s="25" t="n">
        <x:f>COUNTIFS('جميع الضيوف'!$F$6:$F$45,$A5,'جميع الضيوف'!$I$6:$I$45,D$4)</x:f>
        <x:v>2</x:v>
      </x:c>
      <x:c r="E5" s="25" t="n">
        <x:f>COUNTIFS('جميع الضيوف'!$F$6:$F$45,$A5,'جميع الضيوف'!$I$6:$I$45,E$4)</x:f>
        <x:v>1</x:v>
      </x:c>
      <x:c r="F5" s="25" t="n">
        <x:f>COUNTIFS('جميع الضيوف'!$F$6:$F$45,$A5,'جميع الضيوف'!$I$6:$I$45,F$4)</x:f>
        <x:v>1</x:v>
      </x:c>
    </x:row>
    <x:row r="6" ht="30" customHeight="1">
      <x:c r="A6" s="25" t="str">
        <x:v>المحكمون الدوليون</x:v>
      </x:c>
      <x:c r="B6" s="25" t="n">
        <x:f>COUNTIF('جميع الضيوف'!$F$6:$F$45,A6)</x:f>
        <x:v>10</x:v>
      </x:c>
      <x:c r="C6" s="25" t="n">
        <x:f>COUNTIFS('جميع الضيوف'!$F$6:$F$45,$A6,'جميع الضيوف'!$I$6:$I$45,C$4)</x:f>
        <x:v>6</x:v>
      </x:c>
      <x:c r="D6" s="25" t="n">
        <x:f>COUNTIFS('جميع الضيوف'!$F$6:$F$45,$A6,'جميع الضيوف'!$I$6:$I$45,D$4)</x:f>
        <x:v>2</x:v>
      </x:c>
      <x:c r="E6" s="25" t="n">
        <x:f>COUNTIFS('جميع الضيوف'!$F$6:$F$45,$A6,'جميع الضيوف'!$I$6:$I$45,E$4)</x:f>
        <x:v>1</x:v>
      </x:c>
      <x:c r="F6" s="25" t="n">
        <x:f>COUNTIFS('جميع الضيوف'!$F$6:$F$45,$A6,'جميع الضيوف'!$I$6:$I$45,F$4)</x:f>
        <x:v>1</x:v>
      </x:c>
    </x:row>
    <x:row r="7" ht="30" customHeight="1">
      <x:c r="A7" s="25" t="str">
        <x:v>المرشدون</x:v>
      </x:c>
      <x:c r="B7" s="25" t="n">
        <x:f>COUNTIF('جميع الضيوف'!$F$6:$F$45,A7)</x:f>
        <x:v>10</x:v>
      </x:c>
      <x:c r="C7" s="25" t="n">
        <x:f>COUNTIFS('جميع الضيوف'!$F$6:$F$45,$A7,'جميع الضيوف'!$I$6:$I$45,C$4)</x:f>
        <x:v>6</x:v>
      </x:c>
      <x:c r="D7" s="25" t="n">
        <x:f>COUNTIFS('جميع الضيوف'!$F$6:$F$45,$A7,'جميع الضيوف'!$I$6:$I$45,D$4)</x:f>
        <x:v>2</x:v>
      </x:c>
      <x:c r="E7" s="25" t="n">
        <x:f>COUNTIFS('جميع الضيوف'!$F$6:$F$45,$A7,'جميع الضيوف'!$I$6:$I$45,E$4)</x:f>
        <x:v>1</x:v>
      </x:c>
      <x:c r="F7" s="25" t="n">
        <x:f>COUNTIFS('جميع الضيوف'!$F$6:$F$45,$A7,'جميع الضيوف'!$I$6:$I$45,F$4)</x:f>
        <x:v>1</x:v>
      </x:c>
    </x:row>
    <x:row r="8" ht="30" customHeight="1">
      <x:c r="A8" s="25" t="str">
        <x:v>محكمو معرض الابتكار</x:v>
      </x:c>
      <x:c r="B8" s="25" t="n">
        <x:f>COUNTIF('جميع الضيوف'!$F$6:$F$45,A8)</x:f>
        <x:v>10</x:v>
      </x:c>
      <x:c r="C8" s="25" t="n">
        <x:f>COUNTIFS('جميع الضيوف'!$F$6:$F$45,$A8,'جميع الضيوف'!$I$6:$I$45,C$4)</x:f>
        <x:v>6</x:v>
      </x:c>
      <x:c r="D8" s="25" t="n">
        <x:f>COUNTIFS('جميع الضيوف'!$F$6:$F$45,$A8,'جميع الضيوف'!$I$6:$I$45,D$4)</x:f>
        <x:v>2</x:v>
      </x:c>
      <x:c r="E8" s="25" t="n">
        <x:f>COUNTIFS('جميع الضيوف'!$F$6:$F$45,$A8,'جميع الضيوف'!$I$6:$I$45,E$4)</x:f>
        <x:v>1</x:v>
      </x:c>
      <x:c r="F8" s="25" t="n">
        <x:f>COUNTIFS('جميع الضيوف'!$F$6:$F$45,$A8,'جميع الضيوف'!$I$6:$I$45,F$4)</x:f>
        <x:v>1</x:v>
      </x:c>
    </x:row>
    <x:row r="9" ht="32" customHeight="1">
      <x:c r="A9" s="45" t="str">
        <x:v>الإجمالي</x:v>
      </x:c>
      <x:c r="B9" s="45" t="n">
        <x:f>SUM(B5:B8)</x:f>
        <x:v>40</x:v>
      </x:c>
      <x:c r="C9" s="45" t="n">
        <x:f>SUM(C5:C8)</x:f>
        <x:v>24</x:v>
      </x:c>
      <x:c r="D9" s="45" t="n">
        <x:f>SUM(D5:D8)</x:f>
        <x:v>8</x:v>
      </x:c>
      <x:c r="E9" s="45" t="n">
        <x:f>SUM(E5:E8)</x:f>
        <x:v>4</x:v>
      </x:c>
      <x:c r="F9" s="45" t="n">
        <x:f>SUM(F5:F8)</x:f>
        <x:v>4</x:v>
      </x:c>
    </x:row>
    <x:row r="12" ht="30" customHeight="1">
      <x:c r="A12" s="48" t="str">
        <x:v>طريقة استخدام الملف في نموذج EventOps AI</x:v>
      </x:c>
      <x:c r="B12" s="48"/>
      <x:c r="C12" s="48"/>
      <x:c r="D12" s="48"/>
      <x:c r="E12" s="48"/>
      <x:c r="F12" s="48"/>
      <x:c r="G12" s="48"/>
      <x:c r="H12" s="48"/>
    </x:row>
    <x:row r="13" ht="28" customHeight="1">
      <x:c r="A13" s="50" t="str">
        <x:v>١. اعتمد ورقة «جميع الضيوف» بوصفها قاعدة البيانات الأصلية؛ أوراق المسارات الأربع تتحدّث من بياناتها.</x:v>
      </x:c>
      <x:c r="B13" s="50"/>
      <x:c r="C13" s="50"/>
      <x:c r="D13" s="50"/>
      <x:c r="E13" s="50"/>
      <x:c r="F13" s="50"/>
      <x:c r="G13" s="50"/>
      <x:c r="H13" s="50"/>
    </x:row>
    <x:row r="14" ht="28" customHeight="1">
      <x:c r="A14" s="25" t="str">
        <x:v>٢. يمكن تصفية السجلات حسب المسار والحالة وقائد المسار ومسؤول الاستقبال.</x:v>
      </x:c>
      <x:c r="B14" s="25"/>
      <x:c r="C14" s="25"/>
      <x:c r="D14" s="25"/>
      <x:c r="E14" s="25"/>
      <x:c r="F14" s="25"/>
      <x:c r="G14" s="25"/>
      <x:c r="H14" s="25"/>
    </x:row>
    <x:row r="15" ht="28" customHeight="1">
      <x:c r="A15" s="50" t="str">
        <x:v>٣. «الحالة / التوفر» تعني حالة تأكيد المشاركة، ولا تعني تسجيل الوصول إلى مقر الحدث.</x:v>
      </x:c>
      <x:c r="B15" s="50"/>
      <x:c r="C15" s="50"/>
      <x:c r="D15" s="50"/>
      <x:c r="E15" s="50"/>
      <x:c r="F15" s="50"/>
      <x:c r="G15" s="50"/>
      <x:c r="H15" s="50"/>
    </x:row>
    <x:row r="16" ht="33" customHeight="1">
      <x:c r="A16" s="25" t="str">
        <x:v>٤. للاستخدام في تطبيق الويب، أضف معرّفًا فريدًا للضيف في قاعدة البيانات، وسجلًا منفصلًا لحالات الوصول والبوابات والمواقف.</x:v>
      </x:c>
      <x:c r="B16" s="25"/>
      <x:c r="C16" s="25"/>
      <x:c r="D16" s="25"/>
      <x:c r="E16" s="25"/>
      <x:c r="F16" s="25"/>
      <x:c r="G16" s="25"/>
      <x:c r="H16" s="25"/>
    </x:row>
    <x:row r="17" ht="28" customHeight="1">
      <x:c r="A17" s="50" t="str">
        <x:v>٥. الأسماء والأدوار والتكليفات والهواتف والبريد والملاحظات كلها مختلقة لأغراض الاختبار؛ لا تُستخدم للتواصل.</x:v>
      </x:c>
      <x:c r="B17" s="50"/>
      <x:c r="C17" s="50"/>
      <x:c r="D17" s="50"/>
      <x:c r="E17" s="50"/>
      <x:c r="F17" s="50"/>
      <x:c r="G17" s="50"/>
      <x:c r="H17" s="50"/>
    </x:row>
    <x:row r="18" ht="28" customHeight="1">
      <x:c r="A18" s="25" t="str">
        <x:v>٦. صور العمود الأول رموز توضيحية وليست صورًا لأشخاص حقيقيين؛ استبدلها عند توفر صور مصرح باستخدامها.</x:v>
      </x:c>
      <x:c r="B18" s="25"/>
      <x:c r="C18" s="25"/>
      <x:c r="D18" s="25"/>
      <x:c r="E18" s="25"/>
      <x:c r="F18" s="25"/>
      <x:c r="G18" s="25"/>
      <x:c r="H18" s="25"/>
    </x:row>
    <x:row r="19" ht="33" customHeight="1">
      <x:c r="A19" s="50" t="str">
        <x:v>٧. لتجربة الإشعارات: اربط مسار الضيف بمسؤول الاستقبال وقائد المسار؛ ويلزم في التشغيل الفعلي ربط مسؤول البوابة أيضًا.</x:v>
      </x:c>
      <x:c r="B19" s="50"/>
      <x:c r="C19" s="50"/>
      <x:c r="D19" s="50"/>
      <x:c r="E19" s="50"/>
      <x:c r="F19" s="50"/>
      <x:c r="G19" s="50"/>
      <x:c r="H19" s="50"/>
    </x:row>
    <x:row r="22" ht="25" customHeight="1">
      <x:c r="A22" s="14" t="str">
        <x:v>مصدر حجز نطاق المثال example.com: https://www.iana.org/domains/reserved</x:v>
      </x:c>
      <x:c r="B22" s="14"/>
      <x:c r="C22" s="14"/>
      <x:c r="D22" s="14"/>
      <x:c r="E22" s="14"/>
      <x:c r="F22" s="14"/>
      <x:c r="G22" s="14"/>
      <x:c r="H22" s="14"/>
    </x:row>
  </x:sheetData>
  <x:mergeCells>
    <x:mergeCell ref="A1:H1"/>
    <x:mergeCell ref="A2:H2"/>
    <x:mergeCell ref="A12:H12"/>
    <x:mergeCell ref="A13:H13"/>
    <x:mergeCell ref="A14:H14"/>
    <x:mergeCell ref="A15:H15"/>
    <x:mergeCell ref="A16:H16"/>
    <x:mergeCell ref="A17:H17"/>
    <x:mergeCell ref="A18:H18"/>
    <x:mergeCell ref="A19:H19"/>
    <x:mergeCell ref="A22:H2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22" hidden="0" customWidth="1"/>
    <x:col min="3" max="3" width="19" hidden="0" customWidth="1"/>
    <x:col min="4" max="4" width="30" hidden="0" customWidth="1"/>
    <x:col min="5" max="5" width="29" hidden="0" customWidth="1"/>
    <x:col min="6" max="6" width="29" hidden="0" customWidth="1"/>
    <x:col min="7" max="7" width="18" hidden="0" customWidth="1"/>
    <x:col min="8" max="8" width="27" hidden="0" customWidth="1"/>
    <x:col min="9" max="9" width="22" hidden="0" customWidth="1"/>
    <x:col min="10" max="10" width="19" hidden="0" customWidth="1"/>
    <x:col min="11" max="11" width="29" hidden="0" customWidth="1"/>
    <x:col min="12" max="12" width="19" hidden="0" customWidth="1"/>
    <x:col min="13" max="13" width="16" hidden="0" customWidth="1"/>
    <x:col min="14" max="14" width="39" hidden="0" customWidth="1"/>
    <x:col min="15" max="15" width="38" hidden="0" customWidth="1"/>
    <x:col min="16" max="16" width="18" hidden="0" customWidth="1"/>
  </x:cols>
  <x:sheetData>
    <x:row r="1" ht="38" customHeight="1">
      <x:c r="A1" s="55" t="str">
        <x:v>EVENTOPS AI  |  سجل فريق غرفة العمليات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</x:row>
    <x:row r="2" ht="29" customHeight="1">
      <x:c r="A2" s="58" t="str">
        <x:v>42 عضوًا افتراضيًا  •  قائدا بروتوكول  •  4 مسارات  •  مسؤولو بوابات  •  ممثلو لجان مساندة</x:v>
      </x:c>
      <x:c r="B2" s="58"/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  <x:c r="O2" s="58"/>
      <x:c r="P2" s="58"/>
    </x:row>
    <x:row r="3" ht="26" customHeight="1">
      <x:c r="A3" s="61" t="str">
        <x:v>مصدر أسماء القادة ومسؤولي الاستقبال: ورقة جميع الضيوف. الأرقام 05XX صورية وغير قابلة للاتصال.</x:v>
      </x:c>
      <x:c r="B3" s="61"/>
      <x:c r="C3" s="61"/>
      <x:c r="D3" s="61"/>
      <x:c r="E3" s="61"/>
      <x:c r="F3" s="61"/>
      <x:c r="G3" s="61"/>
      <x:c r="H3" s="61"/>
      <x:c r="I3" s="61"/>
      <x:c r="J3" s="61"/>
      <x:c r="K3" s="61"/>
      <x:c r="L3" s="61"/>
      <x:c r="M3" s="61"/>
      <x:c r="N3" s="61"/>
      <x:c r="O3" s="61"/>
      <x:c r="P3" s="61"/>
    </x:row>
    <x:row r="5" ht="36" customHeight="1">
      <x:c r="A5" s="65" t="str">
        <x:v>معرّف العضو</x:v>
      </x:c>
      <x:c r="B5" s="65" t="str">
        <x:v>الاسم</x:v>
      </x:c>
      <x:c r="C5" s="65" t="str">
        <x:v>المستوى التنظيمي</x:v>
      </x:c>
      <x:c r="D5" s="65" t="str">
        <x:v>الدور التشغيلي</x:v>
      </x:c>
      <x:c r="E5" s="65" t="str">
        <x:v>المسار / اللجنة</x:v>
      </x:c>
      <x:c r="F5" s="65" t="str">
        <x:v>موقع العمل</x:v>
      </x:c>
      <x:c r="G5" s="65" t="str">
        <x:v>البوابة</x:v>
      </x:c>
      <x:c r="H5" s="65" t="str">
        <x:v>النطاق / المنطقة</x:v>
      </x:c>
      <x:c r="I5" s="65" t="str">
        <x:v>المسؤول المباشر</x:v>
      </x:c>
      <x:c r="J5" s="65" t="str">
        <x:v>الجوال التجريبي</x:v>
      </x:c>
      <x:c r="K5" s="65" t="str">
        <x:v>البريد الإلكتروني التجريبي</x:v>
      </x:c>
      <x:c r="L5" s="65" t="str">
        <x:v>المناوبة</x:v>
      </x:c>
      <x:c r="M5" s="65" t="str">
        <x:v>حالة التكليف</x:v>
      </x:c>
      <x:c r="N5" s="65" t="str">
        <x:v>المهام والمسؤوليات</x:v>
      </x:c>
      <x:c r="O5" s="65" t="str">
        <x:v>ملاحظات</x:v>
      </x:c>
      <x:c r="P5" s="65" t="str">
        <x:v>عدد الضيوف المرتبطين</x:v>
      </x:c>
    </x:row>
    <x:row r="6" ht="30" customHeight="1">
      <x:c r="A6" s="69" t="str">
        <x:v>ST-001</x:v>
      </x:c>
      <x:c r="B6" s="69" t="str">
        <x:v>ريان العتيبي</x:v>
      </x:c>
      <x:c r="C6" s="69" t="str">
        <x:v>قيادة اللجنة</x:v>
      </x:c>
      <x:c r="D6" s="69" t="str">
        <x:v>قائد مشارك للجنة البروتوكول</x:v>
      </x:c>
      <x:c r="E6" s="69" t="str">
        <x:v>جميع المسارات</x:v>
      </x:c>
      <x:c r="F6" s="69" t="str">
        <x:v>غرفة العمليات المركزية</x:v>
      </x:c>
      <x:c r="G6" s="69" t="str">
        <x:v>جميع البوابات</x:v>
      </x:c>
      <x:c r="H6" s="69" t="str">
        <x:v>القيادة والتصعيد</x:v>
      </x:c>
      <x:c r="I6" s="69" t="str">
        <x:v>—</x:v>
      </x:c>
      <x:c r="J6" s="70" t="str">
        <x:v>05XX-XXX-1001</x:v>
      </x:c>
      <x:c r="K6" s="70" t="str">
        <x:v>staff001@example.com</x:v>
      </x:c>
      <x:c r="L6" s="69" t="str">
        <x:v>كامل الحدث</x:v>
      </x:c>
      <x:c r="M6" s="69" t="str">
        <x:v>مكلف</x:v>
      </x:c>
      <x:c r="N6" s="69" t="str">
        <x:v>الإشراف العام والتصعيد</x:v>
      </x:c>
      <x:c r="O6" s="69" t="str">
        <x:v>اسم افتراضي</x:v>
      </x:c>
      <x:c r="P6" s="69" t="n">
        <x:f>COUNTIF('جميع الضيوف'!$J$6:$J$45,B6)+COUNTIF('جميع الضيوف'!$K$6:$K$45,B6)+COUNTIF('توزيع الضيوف'!$G$6:$G$45,B6)</x:f>
        <x:v>0</x:v>
      </x:c>
    </x:row>
    <x:row r="7" ht="30" customHeight="1">
      <x:c r="A7" s="69" t="str">
        <x:v>ST-002</x:v>
      </x:c>
      <x:c r="B7" s="69" t="str">
        <x:v>أريج الدوسري</x:v>
      </x:c>
      <x:c r="C7" s="69" t="str">
        <x:v>قيادة اللجنة</x:v>
      </x:c>
      <x:c r="D7" s="69" t="str">
        <x:v>قائدة مشاركة للجنة البروتوكول</x:v>
      </x:c>
      <x:c r="E7" s="69" t="str">
        <x:v>جميع المسارات</x:v>
      </x:c>
      <x:c r="F7" s="69" t="str">
        <x:v>غرفة العمليات المركزية</x:v>
      </x:c>
      <x:c r="G7" s="69" t="str">
        <x:v>جميع البوابات</x:v>
      </x:c>
      <x:c r="H7" s="69" t="str">
        <x:v>المتابعة والتقارير</x:v>
      </x:c>
      <x:c r="I7" s="69" t="str">
        <x:v>ريان العتيبي</x:v>
      </x:c>
      <x:c r="J7" s="70" t="str">
        <x:v>05XX-XXX-1002</x:v>
      </x:c>
      <x:c r="K7" s="70" t="str">
        <x:v>staff002@example.com</x:v>
      </x:c>
      <x:c r="L7" s="69" t="str">
        <x:v>كامل الحدث</x:v>
      </x:c>
      <x:c r="M7" s="69" t="str">
        <x:v>مكلف</x:v>
      </x:c>
      <x:c r="N7" s="69" t="str">
        <x:v>التشغيل ورفع التقارير</x:v>
      </x:c>
      <x:c r="O7" s="69" t="str"/>
      <x:c r="P7" s="69" t="n">
        <x:f>COUNTIF('جميع الضيوف'!$J$6:$J$45,B7)+COUNTIF('جميع الضيوف'!$K$6:$K$45,B7)+COUNTIF('توزيع الضيوف'!$G$6:$G$45,B7)</x:f>
        <x:v>0</x:v>
      </x:c>
    </x:row>
    <x:row r="8" ht="30" customHeight="1">
      <x:c r="A8" s="25" t="str">
        <x:v>ST-003</x:v>
      </x:c>
      <x:c r="B8" s="25" t="str">
        <x:v>نادر الحربي</x:v>
      </x:c>
      <x:c r="C8" s="25" t="str">
        <x:v>قيادة مسار</x:v>
      </x:c>
      <x:c r="D8" s="25" t="str">
        <x:v>قائد المسار</x:v>
      </x:c>
      <x:c r="E8" s="25" t="str">
        <x:v>المستثمرون – يوم العروض</x:v>
      </x:c>
      <x:c r="F8" s="25" t="str">
        <x:v>غرفة مسار المستثمرون – يوم العروض</x:v>
      </x:c>
      <x:c r="G8" s="25" t="str">
        <x:v>البوابة A</x:v>
      </x:c>
      <x:c r="H8" s="25" t="str">
        <x:v>منطقة كبار الشخصيات</x:v>
      </x:c>
      <x:c r="I8" s="25" t="str">
        <x:v>أريج الدوسري</x:v>
      </x:c>
      <x:c r="J8" s="67" t="str">
        <x:v>05XX-XXX-1003</x:v>
      </x:c>
      <x:c r="K8" s="67" t="str">
        <x:v>staff003@example.com</x:v>
      </x:c>
      <x:c r="L8" s="25" t="str">
        <x:v>كامل الحدث</x:v>
      </x:c>
      <x:c r="M8" s="25" t="str">
        <x:v>مكلف</x:v>
      </x:c>
      <x:c r="N8" s="25" t="str">
        <x:v>إدارة المسار وقراراته</x:v>
      </x:c>
      <x:c r="O8" s="25" t="str"/>
      <x:c r="P8" s="68" t="n">
        <x:f>COUNTIF('جميع الضيوف'!$J$6:$J$45,B8)+COUNTIF('جميع الضيوف'!$K$6:$K$45,B8)+COUNTIF('توزيع الضيوف'!$G$6:$G$45,B8)</x:f>
        <x:v>10</x:v>
      </x:c>
    </x:row>
    <x:row r="9" ht="30" customHeight="1">
      <x:c r="A9" s="25" t="str">
        <x:v>ST-004</x:v>
      </x:c>
      <x:c r="B9" s="25" t="str">
        <x:v>شيماء القحطاني</x:v>
      </x:c>
      <x:c r="C9" s="25" t="str">
        <x:v>قيادة مسار</x:v>
      </x:c>
      <x:c r="D9" s="25" t="str">
        <x:v>نائب قائد المسار</x:v>
      </x:c>
      <x:c r="E9" s="25" t="str">
        <x:v>المستثمرون – يوم العروض</x:v>
      </x:c>
      <x:c r="F9" s="25" t="str">
        <x:v>نقطة تنسيق منطقة كبار الشخصيات</x:v>
      </x:c>
      <x:c r="G9" s="25" t="str">
        <x:v>البوابة A</x:v>
      </x:c>
      <x:c r="H9" s="25" t="str">
        <x:v>منطقة كبار الشخصيات</x:v>
      </x:c>
      <x:c r="I9" s="25" t="str">
        <x:v>نادر الحربي</x:v>
      </x:c>
      <x:c r="J9" s="67" t="str">
        <x:v>05XX-XXX-1004</x:v>
      </x:c>
      <x:c r="K9" s="67" t="str">
        <x:v>staff004@example.com</x:v>
      </x:c>
      <x:c r="L9" s="25" t="str">
        <x:v>كامل الحدث</x:v>
      </x:c>
      <x:c r="M9" s="25" t="str">
        <x:v>مكلف</x:v>
      </x:c>
      <x:c r="N9" s="25" t="str">
        <x:v>بديل قائد المسار ودعم التنسيق</x:v>
      </x:c>
      <x:c r="O9" s="25" t="str"/>
      <x:c r="P9" s="68" t="n">
        <x:f>COUNTIF('جميع الضيوف'!$J$6:$J$45,B9)+COUNTIF('جميع الضيوف'!$K$6:$K$45,B9)+COUNTIF('توزيع الضيوف'!$G$6:$G$45,B9)</x:f>
        <x:v>0</x:v>
      </x:c>
    </x:row>
    <x:row r="10" ht="30" customHeight="1">
      <x:c r="A10" s="25" t="str">
        <x:v>ST-005</x:v>
      </x:c>
      <x:c r="B10" s="25" t="str">
        <x:v>هناء الماجد</x:v>
      </x:c>
      <x:c r="C10" s="25" t="str">
        <x:v>أعضاء المسار</x:v>
      </x:c>
      <x:c r="D10" s="25" t="str">
        <x:v>عضو استقبال ومرافقة</x:v>
      </x:c>
      <x:c r="E10" s="25" t="str">
        <x:v>المستثمرون – يوم العروض</x:v>
      </x:c>
      <x:c r="F10" s="25" t="str">
        <x:v>قاعة Demo Day</x:v>
      </x:c>
      <x:c r="G10" s="25" t="str">
        <x:v>البوابة A</x:v>
      </x:c>
      <x:c r="H10" s="25" t="str">
        <x:v>منطقة كبار الشخصيات</x:v>
      </x:c>
      <x:c r="I10" s="25" t="str">
        <x:v>نادر الحربي</x:v>
      </x:c>
      <x:c r="J10" s="67" t="str">
        <x:v>05XX-XXX-1005</x:v>
      </x:c>
      <x:c r="K10" s="67" t="str">
        <x:v>staff005@example.com</x:v>
      </x:c>
      <x:c r="L10" s="25" t="str">
        <x:v>الفترة الصباحية</x:v>
      </x:c>
      <x:c r="M10" s="25" t="str">
        <x:v>مكلف</x:v>
      </x:c>
      <x:c r="N10" s="25" t="str">
        <x:v>مكلف بضيوف في قاعدة البيانات</x:v>
      </x:c>
      <x:c r="O10" s="25" t="str">
        <x:v>تكليفات الاستقبال الأصلية محفوظة</x:v>
      </x:c>
      <x:c r="P10" s="68" t="n">
        <x:f>COUNTIF('جميع الضيوف'!$J$6:$J$45,B10)+COUNTIF('جميع الضيوف'!$K$6:$K$45,B10)+COUNTIF('توزيع الضيوف'!$G$6:$G$45,B10)</x:f>
        <x:v>4</x:v>
      </x:c>
    </x:row>
    <x:row r="11" ht="30" customHeight="1">
      <x:c r="A11" s="25" t="str">
        <x:v>ST-006</x:v>
      </x:c>
      <x:c r="B11" s="25" t="str">
        <x:v>سامي الوهيبي</x:v>
      </x:c>
      <x:c r="C11" s="25" t="str">
        <x:v>أعضاء المسار</x:v>
      </x:c>
      <x:c r="D11" s="25" t="str">
        <x:v>عضو استقبال ومرافقة</x:v>
      </x:c>
      <x:c r="E11" s="25" t="str">
        <x:v>المستثمرون – يوم العروض</x:v>
      </x:c>
      <x:c r="F11" s="25" t="str">
        <x:v>قاعة Demo Day</x:v>
      </x:c>
      <x:c r="G11" s="25" t="str">
        <x:v>البوابة A</x:v>
      </x:c>
      <x:c r="H11" s="25" t="str">
        <x:v>منطقة كبار الشخصيات</x:v>
      </x:c>
      <x:c r="I11" s="25" t="str">
        <x:v>نادر الحربي</x:v>
      </x:c>
      <x:c r="J11" s="67" t="str">
        <x:v>05XX-XXX-1006</x:v>
      </x:c>
      <x:c r="K11" s="67" t="str">
        <x:v>staff006@example.com</x:v>
      </x:c>
      <x:c r="L11" s="25" t="str">
        <x:v>الفترة الصباحية</x:v>
      </x:c>
      <x:c r="M11" s="25" t="str">
        <x:v>مكلف</x:v>
      </x:c>
      <x:c r="N11" s="25" t="str">
        <x:v>مكلف بضيوف في قاعدة البيانات</x:v>
      </x:c>
      <x:c r="O11" s="25" t="str">
        <x:v>تكليفات الاستقبال الأصلية محفوظة</x:v>
      </x:c>
      <x:c r="P11" s="68" t="n">
        <x:f>COUNTIF('جميع الضيوف'!$J$6:$J$45,B11)+COUNTIF('جميع الضيوف'!$K$6:$K$45,B11)+COUNTIF('توزيع الضيوف'!$G$6:$G$45,B11)</x:f>
        <x:v>3</x:v>
      </x:c>
    </x:row>
    <x:row r="12" ht="30" customHeight="1">
      <x:c r="A12" s="25" t="str">
        <x:v>ST-007</x:v>
      </x:c>
      <x:c r="B12" s="25" t="str">
        <x:v>ريم السهلي</x:v>
      </x:c>
      <x:c r="C12" s="25" t="str">
        <x:v>أعضاء المسار</x:v>
      </x:c>
      <x:c r="D12" s="25" t="str">
        <x:v>عضو استقبال ومرافقة</x:v>
      </x:c>
      <x:c r="E12" s="25" t="str">
        <x:v>المستثمرون – يوم العروض</x:v>
      </x:c>
      <x:c r="F12" s="25" t="str">
        <x:v>قاعة Demo Day</x:v>
      </x:c>
      <x:c r="G12" s="25" t="str">
        <x:v>البوابة A</x:v>
      </x:c>
      <x:c r="H12" s="25" t="str">
        <x:v>منطقة كبار الشخصيات</x:v>
      </x:c>
      <x:c r="I12" s="25" t="str">
        <x:v>نادر الحربي</x:v>
      </x:c>
      <x:c r="J12" s="67" t="str">
        <x:v>05XX-XXX-1007</x:v>
      </x:c>
      <x:c r="K12" s="67" t="str">
        <x:v>staff007@example.com</x:v>
      </x:c>
      <x:c r="L12" s="25" t="str">
        <x:v>الفترة الصباحية</x:v>
      </x:c>
      <x:c r="M12" s="25" t="str">
        <x:v>مكلف</x:v>
      </x:c>
      <x:c r="N12" s="25" t="str">
        <x:v>مكلف بضيوف في قاعدة البيانات</x:v>
      </x:c>
      <x:c r="O12" s="25" t="str">
        <x:v>تكليفات الاستقبال الأصلية محفوظة</x:v>
      </x:c>
      <x:c r="P12" s="68" t="n">
        <x:f>COUNTIF('جميع الضيوف'!$J$6:$J$45,B12)+COUNTIF('جميع الضيوف'!$K$6:$K$45,B12)+COUNTIF('توزيع الضيوف'!$G$6:$G$45,B12)</x:f>
        <x:v>3</x:v>
      </x:c>
    </x:row>
    <x:row r="13" ht="30" customHeight="1">
      <x:c r="A13" s="25" t="str">
        <x:v>ST-008</x:v>
      </x:c>
      <x:c r="B13" s="25" t="str">
        <x:v>خالد المطيري</x:v>
      </x:c>
      <x:c r="C13" s="25" t="str">
        <x:v>أعضاء المسار</x:v>
      </x:c>
      <x:c r="D13" s="25" t="str">
        <x:v>عضو تنظيم ودعم</x:v>
      </x:c>
      <x:c r="E13" s="25" t="str">
        <x:v>المستثمرون – يوم العروض</x:v>
      </x:c>
      <x:c r="F13" s="25" t="str">
        <x:v>قاعة Demo Day</x:v>
      </x:c>
      <x:c r="G13" s="25" t="str">
        <x:v>البوابة A</x:v>
      </x:c>
      <x:c r="H13" s="25" t="str">
        <x:v>منطقة كبار الشخصيات</x:v>
      </x:c>
      <x:c r="I13" s="25" t="str">
        <x:v>نادر الحربي</x:v>
      </x:c>
      <x:c r="J13" s="67" t="str">
        <x:v>05XX-XXX-1008</x:v>
      </x:c>
      <x:c r="K13" s="67" t="str">
        <x:v>staff008@example.com</x:v>
      </x:c>
      <x:c r="L13" s="25" t="str">
        <x:v>الفترة الصباحية</x:v>
      </x:c>
      <x:c r="M13" s="25" t="str">
        <x:v>مكلف</x:v>
      </x:c>
      <x:c r="N13" s="25" t="str">
        <x:v>إسناد مهام تشغيلية ودعم عند الحاجة</x:v>
      </x:c>
      <x:c r="O13" s="25" t="str">
        <x:v>دعم إضافي؛ غير مسند في قائمة الضيوف حاليًا</x:v>
      </x:c>
      <x:c r="P13" s="68" t="n">
        <x:f>COUNTIF('جميع الضيوف'!$J$6:$J$45,B13)+COUNTIF('جميع الضيوف'!$K$6:$K$45,B13)+COUNTIF('توزيع الضيوف'!$G$6:$G$45,B13)</x:f>
        <x:v>0</x:v>
      </x:c>
    </x:row>
    <x:row r="14" ht="30" customHeight="1">
      <x:c r="A14" s="25" t="str">
        <x:v>ST-009</x:v>
      </x:c>
      <x:c r="B14" s="25" t="str">
        <x:v>تالا الغامدي</x:v>
      </x:c>
      <x:c r="C14" s="25" t="str">
        <x:v>أعضاء المسار</x:v>
      </x:c>
      <x:c r="D14" s="25" t="str">
        <x:v>عضو تنظيم ودعم</x:v>
      </x:c>
      <x:c r="E14" s="25" t="str">
        <x:v>المستثمرون – يوم العروض</x:v>
      </x:c>
      <x:c r="F14" s="25" t="str">
        <x:v>قاعة Demo Day</x:v>
      </x:c>
      <x:c r="G14" s="25" t="str">
        <x:v>البوابة A</x:v>
      </x:c>
      <x:c r="H14" s="25" t="str">
        <x:v>منطقة كبار الشخصيات</x:v>
      </x:c>
      <x:c r="I14" s="25" t="str">
        <x:v>نادر الحربي</x:v>
      </x:c>
      <x:c r="J14" s="67" t="str">
        <x:v>05XX-XXX-1009</x:v>
      </x:c>
      <x:c r="K14" s="67" t="str">
        <x:v>staff009@example.com</x:v>
      </x:c>
      <x:c r="L14" s="25" t="str">
        <x:v>الفترة الصباحية</x:v>
      </x:c>
      <x:c r="M14" s="25" t="str">
        <x:v>مكلف</x:v>
      </x:c>
      <x:c r="N14" s="25" t="str">
        <x:v>إسناد مهام تشغيلية ودعم عند الحاجة</x:v>
      </x:c>
      <x:c r="O14" s="25" t="str">
        <x:v>دعم إضافي؛ غير مسند في قائمة الضيوف حاليًا</x:v>
      </x:c>
      <x:c r="P14" s="68" t="n">
        <x:f>COUNTIF('جميع الضيوف'!$J$6:$J$45,B14)+COUNTIF('جميع الضيوف'!$K$6:$K$45,B14)+COUNTIF('توزيع الضيوف'!$G$6:$G$45,B14)</x:f>
        <x:v>0</x:v>
      </x:c>
    </x:row>
    <x:row r="15" ht="30" customHeight="1">
      <x:c r="A15" s="25" t="str">
        <x:v>ST-010</x:v>
      </x:c>
      <x:c r="B15" s="25" t="str">
        <x:v>سارة الماجد</x:v>
      </x:c>
      <x:c r="C15" s="25" t="str">
        <x:v>قيادة مسار</x:v>
      </x:c>
      <x:c r="D15" s="25" t="str">
        <x:v>قائد المسار</x:v>
      </x:c>
      <x:c r="E15" s="25" t="str">
        <x:v>المحكمون الدوليون</x:v>
      </x:c>
      <x:c r="F15" s="25" t="str">
        <x:v>غرفة مسار المحكمون الدوليون</x:v>
      </x:c>
      <x:c r="G15" s="25" t="str">
        <x:v>البوابة B</x:v>
      </x:c>
      <x:c r="H15" s="25" t="str">
        <x:v>منطقة المحكمين الدوليين</x:v>
      </x:c>
      <x:c r="I15" s="25" t="str">
        <x:v>أريج الدوسري</x:v>
      </x:c>
      <x:c r="J15" s="67" t="str">
        <x:v>05XX-XXX-1010</x:v>
      </x:c>
      <x:c r="K15" s="67" t="str">
        <x:v>staff010@example.com</x:v>
      </x:c>
      <x:c r="L15" s="25" t="str">
        <x:v>كامل الحدث</x:v>
      </x:c>
      <x:c r="M15" s="25" t="str">
        <x:v>مكلف</x:v>
      </x:c>
      <x:c r="N15" s="25" t="str">
        <x:v>إدارة المسار وقراراته</x:v>
      </x:c>
      <x:c r="O15" s="25" t="str"/>
      <x:c r="P15" s="68" t="n">
        <x:f>COUNTIF('جميع الضيوف'!$J$6:$J$45,B15)+COUNTIF('جميع الضيوف'!$K$6:$K$45,B15)+COUNTIF('توزيع الضيوف'!$G$6:$G$45,B15)</x:f>
        <x:v>10</x:v>
      </x:c>
    </x:row>
    <x:row r="16" ht="30" customHeight="1">
      <x:c r="A16" s="25" t="str">
        <x:v>ST-011</x:v>
      </x:c>
      <x:c r="B16" s="25" t="str">
        <x:v>فارس الزيد</x:v>
      </x:c>
      <x:c r="C16" s="25" t="str">
        <x:v>قيادة مسار</x:v>
      </x:c>
      <x:c r="D16" s="25" t="str">
        <x:v>نائب قائد المسار</x:v>
      </x:c>
      <x:c r="E16" s="25" t="str">
        <x:v>المحكمون الدوليون</x:v>
      </x:c>
      <x:c r="F16" s="25" t="str">
        <x:v>نقطة تنسيق منطقة المحكمين الدوليين</x:v>
      </x:c>
      <x:c r="G16" s="25" t="str">
        <x:v>البوابة B</x:v>
      </x:c>
      <x:c r="H16" s="25" t="str">
        <x:v>منطقة المحكمين الدوليين</x:v>
      </x:c>
      <x:c r="I16" s="25" t="str">
        <x:v>سارة الماجد</x:v>
      </x:c>
      <x:c r="J16" s="67" t="str">
        <x:v>05XX-XXX-1011</x:v>
      </x:c>
      <x:c r="K16" s="67" t="str">
        <x:v>staff011@example.com</x:v>
      </x:c>
      <x:c r="L16" s="25" t="str">
        <x:v>كامل الحدث</x:v>
      </x:c>
      <x:c r="M16" s="25" t="str">
        <x:v>مكلف</x:v>
      </x:c>
      <x:c r="N16" s="25" t="str">
        <x:v>بديل قائد المسار ودعم التنسيق</x:v>
      </x:c>
      <x:c r="O16" s="25" t="str"/>
      <x:c r="P16" s="68" t="n">
        <x:f>COUNTIF('جميع الضيوف'!$J$6:$J$45,B16)+COUNTIF('جميع الضيوف'!$K$6:$K$45,B16)+COUNTIF('توزيع الضيوف'!$G$6:$G$45,B16)</x:f>
        <x:v>0</x:v>
      </x:c>
    </x:row>
    <x:row r="17" ht="30" customHeight="1">
      <x:c r="A17" s="25" t="str">
        <x:v>ST-012</x:v>
      </x:c>
      <x:c r="B17" s="25" t="str">
        <x:v>عمر العيسى</x:v>
      </x:c>
      <x:c r="C17" s="25" t="str">
        <x:v>أعضاء المسار</x:v>
      </x:c>
      <x:c r="D17" s="25" t="str">
        <x:v>عضو استقبال ومرافقة</x:v>
      </x:c>
      <x:c r="E17" s="25" t="str">
        <x:v>المحكمون الدوليون</x:v>
      </x:c>
      <x:c r="F17" s="25" t="str">
        <x:v>قاعة التحكيم الدولي</x:v>
      </x:c>
      <x:c r="G17" s="25" t="str">
        <x:v>البوابة B</x:v>
      </x:c>
      <x:c r="H17" s="25" t="str">
        <x:v>منطقة المحكمين الدوليين</x:v>
      </x:c>
      <x:c r="I17" s="25" t="str">
        <x:v>سارة الماجد</x:v>
      </x:c>
      <x:c r="J17" s="67" t="str">
        <x:v>05XX-XXX-1012</x:v>
      </x:c>
      <x:c r="K17" s="67" t="str">
        <x:v>staff012@example.com</x:v>
      </x:c>
      <x:c r="L17" s="25" t="str">
        <x:v>الفترة الصباحية</x:v>
      </x:c>
      <x:c r="M17" s="25" t="str">
        <x:v>مكلف</x:v>
      </x:c>
      <x:c r="N17" s="25" t="str">
        <x:v>مكلف بضيوف في قاعدة البيانات</x:v>
      </x:c>
      <x:c r="O17" s="25" t="str">
        <x:v>تكليفات الاستقبال الأصلية محفوظة</x:v>
      </x:c>
      <x:c r="P17" s="68" t="n">
        <x:f>COUNTIF('جميع الضيوف'!$J$6:$J$45,B17)+COUNTIF('جميع الضيوف'!$K$6:$K$45,B17)+COUNTIF('توزيع الضيوف'!$G$6:$G$45,B17)</x:f>
        <x:v>4</x:v>
      </x:c>
    </x:row>
    <x:row r="18" ht="30" customHeight="1">
      <x:c r="A18" s="25" t="str">
        <x:v>ST-013</x:v>
      </x:c>
      <x:c r="B18" s="25" t="str">
        <x:v>لُجين المرزوق</x:v>
      </x:c>
      <x:c r="C18" s="25" t="str">
        <x:v>أعضاء المسار</x:v>
      </x:c>
      <x:c r="D18" s="25" t="str">
        <x:v>عضو استقبال ومرافقة</x:v>
      </x:c>
      <x:c r="E18" s="25" t="str">
        <x:v>المحكمون الدوليون</x:v>
      </x:c>
      <x:c r="F18" s="25" t="str">
        <x:v>قاعة التحكيم الدولي</x:v>
      </x:c>
      <x:c r="G18" s="25" t="str">
        <x:v>البوابة B</x:v>
      </x:c>
      <x:c r="H18" s="25" t="str">
        <x:v>منطقة المحكمين الدوليين</x:v>
      </x:c>
      <x:c r="I18" s="25" t="str">
        <x:v>سارة الماجد</x:v>
      </x:c>
      <x:c r="J18" s="67" t="str">
        <x:v>05XX-XXX-1013</x:v>
      </x:c>
      <x:c r="K18" s="67" t="str">
        <x:v>staff013@example.com</x:v>
      </x:c>
      <x:c r="L18" s="25" t="str">
        <x:v>الفترة الصباحية</x:v>
      </x:c>
      <x:c r="M18" s="25" t="str">
        <x:v>مكلف</x:v>
      </x:c>
      <x:c r="N18" s="25" t="str">
        <x:v>مكلف بضيوف في قاعدة البيانات</x:v>
      </x:c>
      <x:c r="O18" s="25" t="str">
        <x:v>تكليفات الاستقبال الأصلية محفوظة</x:v>
      </x:c>
      <x:c r="P18" s="68" t="n">
        <x:f>COUNTIF('جميع الضيوف'!$J$6:$J$45,B18)+COUNTIF('جميع الضيوف'!$K$6:$K$45,B18)+COUNTIF('توزيع الضيوف'!$G$6:$G$45,B18)</x:f>
        <x:v>3</x:v>
      </x:c>
    </x:row>
    <x:row r="19" ht="30" customHeight="1">
      <x:c r="A19" s="25" t="str">
        <x:v>ST-014</x:v>
      </x:c>
      <x:c r="B19" s="25" t="str">
        <x:v>عبدالإله الشمري</x:v>
      </x:c>
      <x:c r="C19" s="25" t="str">
        <x:v>أعضاء المسار</x:v>
      </x:c>
      <x:c r="D19" s="25" t="str">
        <x:v>عضو استقبال ومرافقة</x:v>
      </x:c>
      <x:c r="E19" s="25" t="str">
        <x:v>المحكمون الدوليون</x:v>
      </x:c>
      <x:c r="F19" s="25" t="str">
        <x:v>قاعة التحكيم الدولي</x:v>
      </x:c>
      <x:c r="G19" s="25" t="str">
        <x:v>البوابة B</x:v>
      </x:c>
      <x:c r="H19" s="25" t="str">
        <x:v>منطقة المحكمين الدوليين</x:v>
      </x:c>
      <x:c r="I19" s="25" t="str">
        <x:v>سارة الماجد</x:v>
      </x:c>
      <x:c r="J19" s="67" t="str">
        <x:v>05XX-XXX-1014</x:v>
      </x:c>
      <x:c r="K19" s="67" t="str">
        <x:v>staff014@example.com</x:v>
      </x:c>
      <x:c r="L19" s="25" t="str">
        <x:v>الفترة الصباحية</x:v>
      </x:c>
      <x:c r="M19" s="25" t="str">
        <x:v>مكلف</x:v>
      </x:c>
      <x:c r="N19" s="25" t="str">
        <x:v>مكلف بضيوف في قاعدة البيانات</x:v>
      </x:c>
      <x:c r="O19" s="25" t="str">
        <x:v>تكليفات الاستقبال الأصلية محفوظة</x:v>
      </x:c>
      <x:c r="P19" s="68" t="n">
        <x:f>COUNTIF('جميع الضيوف'!$J$6:$J$45,B19)+COUNTIF('جميع الضيوف'!$K$6:$K$45,B19)+COUNTIF('توزيع الضيوف'!$G$6:$G$45,B19)</x:f>
        <x:v>3</x:v>
      </x:c>
    </x:row>
    <x:row r="20" ht="30" customHeight="1">
      <x:c r="A20" s="25" t="str">
        <x:v>ST-015</x:v>
      </x:c>
      <x:c r="B20" s="25" t="str">
        <x:v>فيصل اليامي</x:v>
      </x:c>
      <x:c r="C20" s="25" t="str">
        <x:v>قيادة مسار</x:v>
      </x:c>
      <x:c r="D20" s="25" t="str">
        <x:v>قائد المسار</x:v>
      </x:c>
      <x:c r="E20" s="25" t="str">
        <x:v>المرشدون</x:v>
      </x:c>
      <x:c r="F20" s="25" t="str">
        <x:v>غرفة مسار المرشدون</x:v>
      </x:c>
      <x:c r="G20" s="25" t="str">
        <x:v>البوابة C</x:v>
      </x:c>
      <x:c r="H20" s="25" t="str">
        <x:v>منطقة المرشدين</x:v>
      </x:c>
      <x:c r="I20" s="25" t="str">
        <x:v>أريج الدوسري</x:v>
      </x:c>
      <x:c r="J20" s="67" t="str">
        <x:v>05XX-XXX-1015</x:v>
      </x:c>
      <x:c r="K20" s="67" t="str">
        <x:v>staff015@example.com</x:v>
      </x:c>
      <x:c r="L20" s="25" t="str">
        <x:v>كامل الحدث</x:v>
      </x:c>
      <x:c r="M20" s="25" t="str">
        <x:v>مكلف</x:v>
      </x:c>
      <x:c r="N20" s="25" t="str">
        <x:v>إدارة المسار وقراراته</x:v>
      </x:c>
      <x:c r="O20" s="25" t="str"/>
      <x:c r="P20" s="68" t="n">
        <x:f>COUNTIF('جميع الضيوف'!$J$6:$J$45,B20)+COUNTIF('جميع الضيوف'!$K$6:$K$45,B20)+COUNTIF('توزيع الضيوف'!$G$6:$G$45,B20)</x:f>
        <x:v>10</x:v>
      </x:c>
    </x:row>
    <x:row r="21" ht="30" customHeight="1">
      <x:c r="A21" s="25" t="str">
        <x:v>ST-016</x:v>
      </x:c>
      <x:c r="B21" s="25" t="str">
        <x:v>خولة الشهري</x:v>
      </x:c>
      <x:c r="C21" s="25" t="str">
        <x:v>أعضاء المسار</x:v>
      </x:c>
      <x:c r="D21" s="25" t="str">
        <x:v>عضو استقبال ومرافقة</x:v>
      </x:c>
      <x:c r="E21" s="25" t="str">
        <x:v>المرشدون</x:v>
      </x:c>
      <x:c r="F21" s="25" t="str">
        <x:v>منطقة الإرشاد</x:v>
      </x:c>
      <x:c r="G21" s="25" t="str">
        <x:v>البوابة C</x:v>
      </x:c>
      <x:c r="H21" s="25" t="str">
        <x:v>منطقة المرشدين</x:v>
      </x:c>
      <x:c r="I21" s="25" t="str">
        <x:v>فيصل اليامي</x:v>
      </x:c>
      <x:c r="J21" s="67" t="str">
        <x:v>05XX-XXX-1016</x:v>
      </x:c>
      <x:c r="K21" s="67" t="str">
        <x:v>staff016@example.com</x:v>
      </x:c>
      <x:c r="L21" s="25" t="str">
        <x:v>صباحية / مسائية</x:v>
      </x:c>
      <x:c r="M21" s="25" t="str">
        <x:v>مكلف</x:v>
      </x:c>
      <x:c r="N21" s="25" t="str">
        <x:v>مكلف بضيوف في قاعدة البيانات</x:v>
      </x:c>
      <x:c r="O21" s="25" t="str">
        <x:v>تكليفات الاستقبال الأصلية محفوظة</x:v>
      </x:c>
      <x:c r="P21" s="68" t="n">
        <x:f>COUNTIF('جميع الضيوف'!$J$6:$J$45,B21)+COUNTIF('جميع الضيوف'!$K$6:$K$45,B21)+COUNTIF('توزيع الضيوف'!$G$6:$G$45,B21)</x:f>
        <x:v>4</x:v>
      </x:c>
    </x:row>
    <x:row r="22" ht="30" customHeight="1">
      <x:c r="A22" s="25" t="str">
        <x:v>ST-017</x:v>
      </x:c>
      <x:c r="B22" s="25" t="str">
        <x:v>محمد الربيع</x:v>
      </x:c>
      <x:c r="C22" s="25" t="str">
        <x:v>أعضاء المسار</x:v>
      </x:c>
      <x:c r="D22" s="25" t="str">
        <x:v>عضو استقبال ومرافقة</x:v>
      </x:c>
      <x:c r="E22" s="25" t="str">
        <x:v>المرشدون</x:v>
      </x:c>
      <x:c r="F22" s="25" t="str">
        <x:v>منطقة الإرشاد</x:v>
      </x:c>
      <x:c r="G22" s="25" t="str">
        <x:v>البوابة C</x:v>
      </x:c>
      <x:c r="H22" s="25" t="str">
        <x:v>منطقة المرشدين</x:v>
      </x:c>
      <x:c r="I22" s="25" t="str">
        <x:v>فيصل اليامي</x:v>
      </x:c>
      <x:c r="J22" s="67" t="str">
        <x:v>05XX-XXX-1017</x:v>
      </x:c>
      <x:c r="K22" s="67" t="str">
        <x:v>staff017@example.com</x:v>
      </x:c>
      <x:c r="L22" s="25" t="str">
        <x:v>صباحية / مسائية</x:v>
      </x:c>
      <x:c r="M22" s="25" t="str">
        <x:v>مكلف</x:v>
      </x:c>
      <x:c r="N22" s="25" t="str">
        <x:v>مكلف بضيوف في قاعدة البيانات</x:v>
      </x:c>
      <x:c r="O22" s="25" t="str">
        <x:v>تكليفات الاستقبال الأصلية محفوظة</x:v>
      </x:c>
      <x:c r="P22" s="68" t="n">
        <x:f>COUNTIF('جميع الضيوف'!$J$6:$J$45,B22)+COUNTIF('جميع الضيوف'!$K$6:$K$45,B22)+COUNTIF('توزيع الضيوف'!$G$6:$G$45,B22)</x:f>
        <x:v>3</x:v>
      </x:c>
    </x:row>
    <x:row r="23" ht="30" customHeight="1">
      <x:c r="A23" s="25" t="str">
        <x:v>ST-018</x:v>
      </x:c>
      <x:c r="B23" s="25" t="str">
        <x:v>غادة المطيري</x:v>
      </x:c>
      <x:c r="C23" s="25" t="str">
        <x:v>أعضاء المسار</x:v>
      </x:c>
      <x:c r="D23" s="25" t="str">
        <x:v>عضو استقبال ومرافقة</x:v>
      </x:c>
      <x:c r="E23" s="25" t="str">
        <x:v>المرشدون</x:v>
      </x:c>
      <x:c r="F23" s="25" t="str">
        <x:v>منطقة الإرشاد</x:v>
      </x:c>
      <x:c r="G23" s="25" t="str">
        <x:v>البوابة C</x:v>
      </x:c>
      <x:c r="H23" s="25" t="str">
        <x:v>منطقة المرشدين</x:v>
      </x:c>
      <x:c r="I23" s="25" t="str">
        <x:v>فيصل اليامي</x:v>
      </x:c>
      <x:c r="J23" s="67" t="str">
        <x:v>05XX-XXX-1018</x:v>
      </x:c>
      <x:c r="K23" s="67" t="str">
        <x:v>staff018@example.com</x:v>
      </x:c>
      <x:c r="L23" s="25" t="str">
        <x:v>صباحية / مسائية</x:v>
      </x:c>
      <x:c r="M23" s="25" t="str">
        <x:v>مكلف</x:v>
      </x:c>
      <x:c r="N23" s="25" t="str">
        <x:v>مكلف بضيوف في قاعدة البيانات</x:v>
      </x:c>
      <x:c r="O23" s="25" t="str">
        <x:v>تكليفات الاستقبال الأصلية محفوظة</x:v>
      </x:c>
      <x:c r="P23" s="68" t="n">
        <x:f>COUNTIF('جميع الضيوف'!$J$6:$J$45,B23)+COUNTIF('جميع الضيوف'!$K$6:$K$45,B23)+COUNTIF('توزيع الضيوف'!$G$6:$G$45,B23)</x:f>
        <x:v>3</x:v>
      </x:c>
    </x:row>
    <x:row r="24" ht="30" customHeight="1">
      <x:c r="A24" s="25" t="str">
        <x:v>ST-019</x:v>
      </x:c>
      <x:c r="B24" s="25" t="str">
        <x:v>نورة القحطاني</x:v>
      </x:c>
      <x:c r="C24" s="25" t="str">
        <x:v>أعضاء المسار</x:v>
      </x:c>
      <x:c r="D24" s="25" t="str">
        <x:v>منسق احتياط ومناوبات</x:v>
      </x:c>
      <x:c r="E24" s="25" t="str">
        <x:v>المرشدون</x:v>
      </x:c>
      <x:c r="F24" s="25" t="str">
        <x:v>منطقة الإرشاد</x:v>
      </x:c>
      <x:c r="G24" s="25" t="str">
        <x:v>البوابة C</x:v>
      </x:c>
      <x:c r="H24" s="25" t="str">
        <x:v>منطقة المرشدين</x:v>
      </x:c>
      <x:c r="I24" s="25" t="str">
        <x:v>فيصل اليامي</x:v>
      </x:c>
      <x:c r="J24" s="67" t="str">
        <x:v>05XX-XXX-1019</x:v>
      </x:c>
      <x:c r="K24" s="67" t="str">
        <x:v>staff019@example.com</x:v>
      </x:c>
      <x:c r="L24" s="25" t="str">
        <x:v>صباحية / مسائية</x:v>
      </x:c>
      <x:c r="M24" s="25" t="str">
        <x:v>مكلف</x:v>
      </x:c>
      <x:c r="N24" s="25" t="str">
        <x:v>إسناد مهام تشغيلية ودعم عند الحاجة</x:v>
      </x:c>
      <x:c r="O24" s="25" t="str">
        <x:v>دعم إضافي؛ غير مسند في قائمة الضيوف حاليًا</x:v>
      </x:c>
      <x:c r="P24" s="68" t="n">
        <x:f>COUNTIF('جميع الضيوف'!$J$6:$J$45,B24)+COUNTIF('جميع الضيوف'!$K$6:$K$45,B24)+COUNTIF('توزيع الضيوف'!$G$6:$G$45,B24)</x:f>
        <x:v>0</x:v>
      </x:c>
    </x:row>
    <x:row r="25" ht="30" customHeight="1">
      <x:c r="A25" s="25" t="str">
        <x:v>ST-020</x:v>
      </x:c>
      <x:c r="B25" s="25" t="str">
        <x:v>طارق الجهني</x:v>
      </x:c>
      <x:c r="C25" s="25" t="str">
        <x:v>أعضاء المسار</x:v>
      </x:c>
      <x:c r="D25" s="25" t="str">
        <x:v>منسق احتياط ومناوبات</x:v>
      </x:c>
      <x:c r="E25" s="25" t="str">
        <x:v>المرشدون</x:v>
      </x:c>
      <x:c r="F25" s="25" t="str">
        <x:v>منطقة الإرشاد</x:v>
      </x:c>
      <x:c r="G25" s="25" t="str">
        <x:v>البوابة C</x:v>
      </x:c>
      <x:c r="H25" s="25" t="str">
        <x:v>منطقة المرشدين</x:v>
      </x:c>
      <x:c r="I25" s="25" t="str">
        <x:v>فيصل اليامي</x:v>
      </x:c>
      <x:c r="J25" s="67" t="str">
        <x:v>05XX-XXX-1020</x:v>
      </x:c>
      <x:c r="K25" s="67" t="str">
        <x:v>staff020@example.com</x:v>
      </x:c>
      <x:c r="L25" s="25" t="str">
        <x:v>صباحية / مسائية</x:v>
      </x:c>
      <x:c r="M25" s="25" t="str">
        <x:v>مكلف</x:v>
      </x:c>
      <x:c r="N25" s="25" t="str">
        <x:v>إسناد مهام تشغيلية ودعم عند الحاجة</x:v>
      </x:c>
      <x:c r="O25" s="25" t="str">
        <x:v>دعم إضافي؛ غير مسند في قائمة الضيوف حاليًا</x:v>
      </x:c>
      <x:c r="P25" s="68" t="n">
        <x:f>COUNTIF('جميع الضيوف'!$J$6:$J$45,B25)+COUNTIF('جميع الضيوف'!$K$6:$K$45,B25)+COUNTIF('توزيع الضيوف'!$G$6:$G$45,B25)</x:f>
        <x:v>0</x:v>
      </x:c>
    </x:row>
    <x:row r="26" ht="30" customHeight="1">
      <x:c r="A26" s="25" t="str">
        <x:v>ST-021</x:v>
      </x:c>
      <x:c r="B26" s="25" t="str">
        <x:v>شهد الفوزان</x:v>
      </x:c>
      <x:c r="C26" s="25" t="str">
        <x:v>أعضاء المسار</x:v>
      </x:c>
      <x:c r="D26" s="25" t="str">
        <x:v>منسق احتياط ومناوبات</x:v>
      </x:c>
      <x:c r="E26" s="25" t="str">
        <x:v>المرشدون</x:v>
      </x:c>
      <x:c r="F26" s="25" t="str">
        <x:v>منطقة الإرشاد</x:v>
      </x:c>
      <x:c r="G26" s="25" t="str">
        <x:v>البوابة C</x:v>
      </x:c>
      <x:c r="H26" s="25" t="str">
        <x:v>منطقة المرشدين</x:v>
      </x:c>
      <x:c r="I26" s="25" t="str">
        <x:v>فيصل اليامي</x:v>
      </x:c>
      <x:c r="J26" s="67" t="str">
        <x:v>05XX-XXX-1021</x:v>
      </x:c>
      <x:c r="K26" s="67" t="str">
        <x:v>staff021@example.com</x:v>
      </x:c>
      <x:c r="L26" s="25" t="str">
        <x:v>صباحية / مسائية</x:v>
      </x:c>
      <x:c r="M26" s="25" t="str">
        <x:v>مكلف</x:v>
      </x:c>
      <x:c r="N26" s="25" t="str">
        <x:v>إسناد مهام تشغيلية ودعم عند الحاجة</x:v>
      </x:c>
      <x:c r="O26" s="25" t="str">
        <x:v>دعم إضافي؛ غير مسند في قائمة الضيوف حاليًا</x:v>
      </x:c>
      <x:c r="P26" s="68" t="n">
        <x:f>COUNTIF('جميع الضيوف'!$J$6:$J$45,B26)+COUNTIF('جميع الضيوف'!$K$6:$K$45,B26)+COUNTIF('توزيع الضيوف'!$G$6:$G$45,B26)</x:f>
        <x:v>0</x:v>
      </x:c>
    </x:row>
    <x:row r="27" ht="30" customHeight="1">
      <x:c r="A27" s="25" t="str">
        <x:v>ST-022</x:v>
      </x:c>
      <x:c r="B27" s="25" t="str">
        <x:v>عبدالمجيد الزهراني</x:v>
      </x:c>
      <x:c r="C27" s="25" t="str">
        <x:v>أعضاء المسار</x:v>
      </x:c>
      <x:c r="D27" s="25" t="str">
        <x:v>منسق احتياط ومناوبات</x:v>
      </x:c>
      <x:c r="E27" s="25" t="str">
        <x:v>المرشدون</x:v>
      </x:c>
      <x:c r="F27" s="25" t="str">
        <x:v>منطقة الإرشاد</x:v>
      </x:c>
      <x:c r="G27" s="25" t="str">
        <x:v>البوابة C</x:v>
      </x:c>
      <x:c r="H27" s="25" t="str">
        <x:v>منطقة المرشدين</x:v>
      </x:c>
      <x:c r="I27" s="25" t="str">
        <x:v>فيصل اليامي</x:v>
      </x:c>
      <x:c r="J27" s="67" t="str">
        <x:v>05XX-XXX-1022</x:v>
      </x:c>
      <x:c r="K27" s="67" t="str">
        <x:v>staff022@example.com</x:v>
      </x:c>
      <x:c r="L27" s="25" t="str">
        <x:v>صباحية / مسائية</x:v>
      </x:c>
      <x:c r="M27" s="25" t="str">
        <x:v>مكلف</x:v>
      </x:c>
      <x:c r="N27" s="25" t="str">
        <x:v>إسناد مهام تشغيلية ودعم عند الحاجة</x:v>
      </x:c>
      <x:c r="O27" s="25" t="str">
        <x:v>دعم إضافي؛ غير مسند في قائمة الضيوف حاليًا</x:v>
      </x:c>
      <x:c r="P27" s="68" t="n">
        <x:f>COUNTIF('جميع الضيوف'!$J$6:$J$45,B27)+COUNTIF('جميع الضيوف'!$K$6:$K$45,B27)+COUNTIF('توزيع الضيوف'!$G$6:$G$45,B27)</x:f>
        <x:v>0</x:v>
      </x:c>
    </x:row>
    <x:row r="28" ht="30" customHeight="1">
      <x:c r="A28" s="25" t="str">
        <x:v>ST-023</x:v>
      </x:c>
      <x:c r="B28" s="25" t="str">
        <x:v>مريم الشهري</x:v>
      </x:c>
      <x:c r="C28" s="25" t="str">
        <x:v>أعضاء المسار</x:v>
      </x:c>
      <x:c r="D28" s="25" t="str">
        <x:v>منسق احتياط ومناوبات</x:v>
      </x:c>
      <x:c r="E28" s="25" t="str">
        <x:v>المرشدون</x:v>
      </x:c>
      <x:c r="F28" s="25" t="str">
        <x:v>منطقة الإرشاد</x:v>
      </x:c>
      <x:c r="G28" s="25" t="str">
        <x:v>البوابة C</x:v>
      </x:c>
      <x:c r="H28" s="25" t="str">
        <x:v>منطقة المرشدين</x:v>
      </x:c>
      <x:c r="I28" s="25" t="str">
        <x:v>فيصل اليامي</x:v>
      </x:c>
      <x:c r="J28" s="67" t="str">
        <x:v>05XX-XXX-1023</x:v>
      </x:c>
      <x:c r="K28" s="67" t="str">
        <x:v>staff023@example.com</x:v>
      </x:c>
      <x:c r="L28" s="25" t="str">
        <x:v>صباحية / مسائية</x:v>
      </x:c>
      <x:c r="M28" s="25" t="str">
        <x:v>مكلف</x:v>
      </x:c>
      <x:c r="N28" s="25" t="str">
        <x:v>إسناد مهام تشغيلية ودعم عند الحاجة</x:v>
      </x:c>
      <x:c r="O28" s="25" t="str">
        <x:v>دعم إضافي؛ غير مسند في قائمة الضيوف حاليًا</x:v>
      </x:c>
      <x:c r="P28" s="68" t="n">
        <x:f>COUNTIF('جميع الضيوف'!$J$6:$J$45,B28)+COUNTIF('جميع الضيوف'!$K$6:$K$45,B28)+COUNTIF('توزيع الضيوف'!$G$6:$G$45,B28)</x:f>
        <x:v>0</x:v>
      </x:c>
    </x:row>
    <x:row r="29" ht="30" customHeight="1">
      <x:c r="A29" s="25" t="str">
        <x:v>ST-024</x:v>
      </x:c>
      <x:c r="B29" s="25" t="str">
        <x:v>راكان الهاجري</x:v>
      </x:c>
      <x:c r="C29" s="25" t="str">
        <x:v>أعضاء المسار</x:v>
      </x:c>
      <x:c r="D29" s="25" t="str">
        <x:v>منسق احتياط ومناوبات</x:v>
      </x:c>
      <x:c r="E29" s="25" t="str">
        <x:v>المرشدون</x:v>
      </x:c>
      <x:c r="F29" s="25" t="str">
        <x:v>منطقة الإرشاد</x:v>
      </x:c>
      <x:c r="G29" s="25" t="str">
        <x:v>البوابة C</x:v>
      </x:c>
      <x:c r="H29" s="25" t="str">
        <x:v>منطقة المرشدين</x:v>
      </x:c>
      <x:c r="I29" s="25" t="str">
        <x:v>فيصل اليامي</x:v>
      </x:c>
      <x:c r="J29" s="67" t="str">
        <x:v>05XX-XXX-1024</x:v>
      </x:c>
      <x:c r="K29" s="67" t="str">
        <x:v>staff024@example.com</x:v>
      </x:c>
      <x:c r="L29" s="25" t="str">
        <x:v>صباحية / مسائية</x:v>
      </x:c>
      <x:c r="M29" s="25" t="str">
        <x:v>مكلف</x:v>
      </x:c>
      <x:c r="N29" s="25" t="str">
        <x:v>إسناد مهام تشغيلية ودعم عند الحاجة</x:v>
      </x:c>
      <x:c r="O29" s="25" t="str">
        <x:v>دعم إضافي؛ غير مسند في قائمة الضيوف حاليًا</x:v>
      </x:c>
      <x:c r="P29" s="68" t="n">
        <x:f>COUNTIF('جميع الضيوف'!$J$6:$J$45,B29)+COUNTIF('جميع الضيوف'!$K$6:$K$45,B29)+COUNTIF('توزيع الضيوف'!$G$6:$G$45,B29)</x:f>
        <x:v>0</x:v>
      </x:c>
    </x:row>
    <x:row r="30" ht="30" customHeight="1">
      <x:c r="A30" s="25" t="str">
        <x:v>ST-025</x:v>
      </x:c>
      <x:c r="B30" s="25" t="str">
        <x:v>غدير الدوسري</x:v>
      </x:c>
      <x:c r="C30" s="25" t="str">
        <x:v>أعضاء المسار</x:v>
      </x:c>
      <x:c r="D30" s="25" t="str">
        <x:v>منسق احتياط ومناوبات</x:v>
      </x:c>
      <x:c r="E30" s="25" t="str">
        <x:v>المرشدون</x:v>
      </x:c>
      <x:c r="F30" s="25" t="str">
        <x:v>منطقة الإرشاد</x:v>
      </x:c>
      <x:c r="G30" s="25" t="str">
        <x:v>البوابة C</x:v>
      </x:c>
      <x:c r="H30" s="25" t="str">
        <x:v>منطقة المرشدين</x:v>
      </x:c>
      <x:c r="I30" s="25" t="str">
        <x:v>فيصل اليامي</x:v>
      </x:c>
      <x:c r="J30" s="67" t="str">
        <x:v>05XX-XXX-1025</x:v>
      </x:c>
      <x:c r="K30" s="67" t="str">
        <x:v>staff025@example.com</x:v>
      </x:c>
      <x:c r="L30" s="25" t="str">
        <x:v>صباحية / مسائية</x:v>
      </x:c>
      <x:c r="M30" s="25" t="str">
        <x:v>مكلف</x:v>
      </x:c>
      <x:c r="N30" s="25" t="str">
        <x:v>إسناد مهام تشغيلية ودعم عند الحاجة</x:v>
      </x:c>
      <x:c r="O30" s="25" t="str">
        <x:v>دعم إضافي؛ غير مسند في قائمة الضيوف حاليًا</x:v>
      </x:c>
      <x:c r="P30" s="68" t="n">
        <x:f>COUNTIF('جميع الضيوف'!$J$6:$J$45,B30)+COUNTIF('جميع الضيوف'!$K$6:$K$45,B30)+COUNTIF('توزيع الضيوف'!$G$6:$G$45,B30)</x:f>
        <x:v>0</x:v>
      </x:c>
    </x:row>
    <x:row r="31" ht="30" customHeight="1">
      <x:c r="A31" s="25" t="str">
        <x:v>ST-026</x:v>
      </x:c>
      <x:c r="B31" s="25" t="str">
        <x:v>علي المشعل</x:v>
      </x:c>
      <x:c r="C31" s="25" t="str">
        <x:v>أعضاء المسار</x:v>
      </x:c>
      <x:c r="D31" s="25" t="str">
        <x:v>منسق احتياط ومناوبات</x:v>
      </x:c>
      <x:c r="E31" s="25" t="str">
        <x:v>المرشدون</x:v>
      </x:c>
      <x:c r="F31" s="25" t="str">
        <x:v>منطقة الإرشاد</x:v>
      </x:c>
      <x:c r="G31" s="25" t="str">
        <x:v>البوابة C</x:v>
      </x:c>
      <x:c r="H31" s="25" t="str">
        <x:v>منطقة المرشدين</x:v>
      </x:c>
      <x:c r="I31" s="25" t="str">
        <x:v>فيصل اليامي</x:v>
      </x:c>
      <x:c r="J31" s="67" t="str">
        <x:v>05XX-XXX-1026</x:v>
      </x:c>
      <x:c r="K31" s="67" t="str">
        <x:v>staff026@example.com</x:v>
      </x:c>
      <x:c r="L31" s="25" t="str">
        <x:v>صباحية / مسائية</x:v>
      </x:c>
      <x:c r="M31" s="25" t="str">
        <x:v>مكلف</x:v>
      </x:c>
      <x:c r="N31" s="25" t="str">
        <x:v>إسناد مهام تشغيلية ودعم عند الحاجة</x:v>
      </x:c>
      <x:c r="O31" s="25" t="str">
        <x:v>دعم إضافي؛ غير مسند في قائمة الضيوف حاليًا</x:v>
      </x:c>
      <x:c r="P31" s="68" t="n">
        <x:f>COUNTIF('جميع الضيوف'!$J$6:$J$45,B31)+COUNTIF('جميع الضيوف'!$K$6:$K$45,B31)+COUNTIF('توزيع الضيوف'!$G$6:$G$45,B31)</x:f>
        <x:v>0</x:v>
      </x:c>
    </x:row>
    <x:row r="32" ht="30" customHeight="1">
      <x:c r="A32" s="25" t="str">
        <x:v>ST-027</x:v>
      </x:c>
      <x:c r="B32" s="25" t="str">
        <x:v>سحر السلمي</x:v>
      </x:c>
      <x:c r="C32" s="25" t="str">
        <x:v>أعضاء المسار</x:v>
      </x:c>
      <x:c r="D32" s="25" t="str">
        <x:v>منسق احتياط ومناوبات</x:v>
      </x:c>
      <x:c r="E32" s="25" t="str">
        <x:v>المرشدون</x:v>
      </x:c>
      <x:c r="F32" s="25" t="str">
        <x:v>منطقة الإرشاد</x:v>
      </x:c>
      <x:c r="G32" s="25" t="str">
        <x:v>البوابة C</x:v>
      </x:c>
      <x:c r="H32" s="25" t="str">
        <x:v>منطقة المرشدين</x:v>
      </x:c>
      <x:c r="I32" s="25" t="str">
        <x:v>فيصل اليامي</x:v>
      </x:c>
      <x:c r="J32" s="67" t="str">
        <x:v>05XX-XXX-1027</x:v>
      </x:c>
      <x:c r="K32" s="67" t="str">
        <x:v>staff027@example.com</x:v>
      </x:c>
      <x:c r="L32" s="25" t="str">
        <x:v>صباحية / مسائية</x:v>
      </x:c>
      <x:c r="M32" s="25" t="str">
        <x:v>مكلف</x:v>
      </x:c>
      <x:c r="N32" s="25" t="str">
        <x:v>إسناد مهام تشغيلية ودعم عند الحاجة</x:v>
      </x:c>
      <x:c r="O32" s="25" t="str">
        <x:v>دعم إضافي؛ غير مسند في قائمة الضيوف حاليًا</x:v>
      </x:c>
      <x:c r="P32" s="68" t="n">
        <x:f>COUNTIF('جميع الضيوف'!$J$6:$J$45,B32)+COUNTIF('جميع الضيوف'!$K$6:$K$45,B32)+COUNTIF('توزيع الضيوف'!$G$6:$G$45,B32)</x:f>
        <x:v>0</x:v>
      </x:c>
    </x:row>
    <x:row r="33" ht="30" customHeight="1">
      <x:c r="A33" s="25" t="str">
        <x:v>ST-028</x:v>
      </x:c>
      <x:c r="B33" s="25" t="str">
        <x:v>مي العبدالله</x:v>
      </x:c>
      <x:c r="C33" s="25" t="str">
        <x:v>قيادة مسار</x:v>
      </x:c>
      <x:c r="D33" s="25" t="str">
        <x:v>قائد المسار</x:v>
      </x:c>
      <x:c r="E33" s="25" t="str">
        <x:v>محكمو معرض الابتكار</x:v>
      </x:c>
      <x:c r="F33" s="25" t="str">
        <x:v>غرفة مسار محكمو معرض الابتكار</x:v>
      </x:c>
      <x:c r="G33" s="25" t="str">
        <x:v>البوابة D</x:v>
      </x:c>
      <x:c r="H33" s="25" t="str">
        <x:v>منطقة معرض الابتكار</x:v>
      </x:c>
      <x:c r="I33" s="25" t="str">
        <x:v>أريج الدوسري</x:v>
      </x:c>
      <x:c r="J33" s="67" t="str">
        <x:v>05XX-XXX-1028</x:v>
      </x:c>
      <x:c r="K33" s="67" t="str">
        <x:v>staff028@example.com</x:v>
      </x:c>
      <x:c r="L33" s="25" t="str">
        <x:v>كامل الحدث</x:v>
      </x:c>
      <x:c r="M33" s="25" t="str">
        <x:v>مكلف</x:v>
      </x:c>
      <x:c r="N33" s="25" t="str">
        <x:v>إدارة المسار وقراراته</x:v>
      </x:c>
      <x:c r="O33" s="25" t="str"/>
      <x:c r="P33" s="68" t="n">
        <x:f>COUNTIF('جميع الضيوف'!$J$6:$J$45,B33)+COUNTIF('جميع الضيوف'!$K$6:$K$45,B33)+COUNTIF('توزيع الضيوف'!$G$6:$G$45,B33)</x:f>
        <x:v>10</x:v>
      </x:c>
    </x:row>
    <x:row r="34" ht="30" customHeight="1">
      <x:c r="A34" s="25" t="str">
        <x:v>ST-029</x:v>
      </x:c>
      <x:c r="B34" s="25" t="str">
        <x:v>يزن الرشيد</x:v>
      </x:c>
      <x:c r="C34" s="25" t="str">
        <x:v>أعضاء المسار</x:v>
      </x:c>
      <x:c r="D34" s="25" t="str">
        <x:v>عضو استقبال ومرافقة</x:v>
      </x:c>
      <x:c r="E34" s="25" t="str">
        <x:v>محكمو معرض الابتكار</x:v>
      </x:c>
      <x:c r="F34" s="25" t="str">
        <x:v>معرض الابتكار</x:v>
      </x:c>
      <x:c r="G34" s="25" t="str">
        <x:v>البوابة D</x:v>
      </x:c>
      <x:c r="H34" s="25" t="str">
        <x:v>منطقة معرض الابتكار</x:v>
      </x:c>
      <x:c r="I34" s="25" t="str">
        <x:v>مي العبدالله</x:v>
      </x:c>
      <x:c r="J34" s="67" t="str">
        <x:v>05XX-XXX-1029</x:v>
      </x:c>
      <x:c r="K34" s="67" t="str">
        <x:v>staff029@example.com</x:v>
      </x:c>
      <x:c r="L34" s="25" t="str">
        <x:v>الفترة المسائية</x:v>
      </x:c>
      <x:c r="M34" s="25" t="str">
        <x:v>مكلف</x:v>
      </x:c>
      <x:c r="N34" s="25" t="str">
        <x:v>مكلف بضيوف في قاعدة البيانات</x:v>
      </x:c>
      <x:c r="O34" s="25" t="str">
        <x:v>تكليفات الاستقبال الأصلية محفوظة</x:v>
      </x:c>
      <x:c r="P34" s="68" t="n">
        <x:f>COUNTIF('جميع الضيوف'!$J$6:$J$45,B34)+COUNTIF('جميع الضيوف'!$K$6:$K$45,B34)+COUNTIF('توزيع الضيوف'!$G$6:$G$45,B34)</x:f>
        <x:v>4</x:v>
      </x:c>
    </x:row>
    <x:row r="35" ht="30" customHeight="1">
      <x:c r="A35" s="25" t="str">
        <x:v>ST-030</x:v>
      </x:c>
      <x:c r="B35" s="25" t="str">
        <x:v>الجوهرة الشهري</x:v>
      </x:c>
      <x:c r="C35" s="25" t="str">
        <x:v>أعضاء المسار</x:v>
      </x:c>
      <x:c r="D35" s="25" t="str">
        <x:v>عضو استقبال ومرافقة</x:v>
      </x:c>
      <x:c r="E35" s="25" t="str">
        <x:v>محكمو معرض الابتكار</x:v>
      </x:c>
      <x:c r="F35" s="25" t="str">
        <x:v>معرض الابتكار</x:v>
      </x:c>
      <x:c r="G35" s="25" t="str">
        <x:v>البوابة D</x:v>
      </x:c>
      <x:c r="H35" s="25" t="str">
        <x:v>منطقة معرض الابتكار</x:v>
      </x:c>
      <x:c r="I35" s="25" t="str">
        <x:v>مي العبدالله</x:v>
      </x:c>
      <x:c r="J35" s="67" t="str">
        <x:v>05XX-XXX-1030</x:v>
      </x:c>
      <x:c r="K35" s="67" t="str">
        <x:v>staff030@example.com</x:v>
      </x:c>
      <x:c r="L35" s="25" t="str">
        <x:v>الفترة المسائية</x:v>
      </x:c>
      <x:c r="M35" s="25" t="str">
        <x:v>مكلف</x:v>
      </x:c>
      <x:c r="N35" s="25" t="str">
        <x:v>مكلف بضيوف في قاعدة البيانات</x:v>
      </x:c>
      <x:c r="O35" s="25" t="str">
        <x:v>تكليفات الاستقبال الأصلية محفوظة</x:v>
      </x:c>
      <x:c r="P35" s="68" t="n">
        <x:f>COUNTIF('جميع الضيوف'!$J$6:$J$45,B35)+COUNTIF('جميع الضيوف'!$K$6:$K$45,B35)+COUNTIF('توزيع الضيوف'!$G$6:$G$45,B35)</x:f>
        <x:v>3</x:v>
      </x:c>
    </x:row>
    <x:row r="36" ht="30" customHeight="1">
      <x:c r="A36" s="25" t="str">
        <x:v>ST-031</x:v>
      </x:c>
      <x:c r="B36" s="25" t="str">
        <x:v>فيصل العسيري</x:v>
      </x:c>
      <x:c r="C36" s="25" t="str">
        <x:v>أعضاء المسار</x:v>
      </x:c>
      <x:c r="D36" s="25" t="str">
        <x:v>عضو استقبال ومرافقة</x:v>
      </x:c>
      <x:c r="E36" s="25" t="str">
        <x:v>محكمو معرض الابتكار</x:v>
      </x:c>
      <x:c r="F36" s="25" t="str">
        <x:v>معرض الابتكار</x:v>
      </x:c>
      <x:c r="G36" s="25" t="str">
        <x:v>البوابة D</x:v>
      </x:c>
      <x:c r="H36" s="25" t="str">
        <x:v>منطقة معرض الابتكار</x:v>
      </x:c>
      <x:c r="I36" s="25" t="str">
        <x:v>مي العبدالله</x:v>
      </x:c>
      <x:c r="J36" s="67" t="str">
        <x:v>05XX-XXX-1031</x:v>
      </x:c>
      <x:c r="K36" s="67" t="str">
        <x:v>staff031@example.com</x:v>
      </x:c>
      <x:c r="L36" s="25" t="str">
        <x:v>الفترة المسائية</x:v>
      </x:c>
      <x:c r="M36" s="25" t="str">
        <x:v>مكلف</x:v>
      </x:c>
      <x:c r="N36" s="25" t="str">
        <x:v>مكلف بضيوف في قاعدة البيانات</x:v>
      </x:c>
      <x:c r="O36" s="25" t="str">
        <x:v>تكليفات الاستقبال الأصلية محفوظة</x:v>
      </x:c>
      <x:c r="P36" s="68" t="n">
        <x:f>COUNTIF('جميع الضيوف'!$J$6:$J$45,B36)+COUNTIF('جميع الضيوف'!$K$6:$K$45,B36)+COUNTIF('توزيع الضيوف'!$G$6:$G$45,B36)</x:f>
        <x:v>3</x:v>
      </x:c>
    </x:row>
    <x:row r="37" ht="30" customHeight="1">
      <x:c r="A37" s="25" t="str">
        <x:v>ST-032</x:v>
      </x:c>
      <x:c r="B37" s="25" t="str">
        <x:v>منال الغامدي</x:v>
      </x:c>
      <x:c r="C37" s="25" t="str">
        <x:v>أعضاء المسار</x:v>
      </x:c>
      <x:c r="D37" s="25" t="str">
        <x:v>عضو تنظيم ودعم</x:v>
      </x:c>
      <x:c r="E37" s="25" t="str">
        <x:v>محكمو معرض الابتكار</x:v>
      </x:c>
      <x:c r="F37" s="25" t="str">
        <x:v>معرض الابتكار</x:v>
      </x:c>
      <x:c r="G37" s="25" t="str">
        <x:v>البوابة D</x:v>
      </x:c>
      <x:c r="H37" s="25" t="str">
        <x:v>منطقة معرض الابتكار</x:v>
      </x:c>
      <x:c r="I37" s="25" t="str">
        <x:v>مي العبدالله</x:v>
      </x:c>
      <x:c r="J37" s="67" t="str">
        <x:v>05XX-XXX-1032</x:v>
      </x:c>
      <x:c r="K37" s="67" t="str">
        <x:v>staff032@example.com</x:v>
      </x:c>
      <x:c r="L37" s="25" t="str">
        <x:v>الفترة المسائية</x:v>
      </x:c>
      <x:c r="M37" s="25" t="str">
        <x:v>مكلف</x:v>
      </x:c>
      <x:c r="N37" s="25" t="str">
        <x:v>إسناد مهام تشغيلية ودعم عند الحاجة</x:v>
      </x:c>
      <x:c r="O37" s="25" t="str">
        <x:v>دعم إضافي؛ غير مسند في قائمة الضيوف حاليًا</x:v>
      </x:c>
      <x:c r="P37" s="68" t="n">
        <x:f>COUNTIF('جميع الضيوف'!$J$6:$J$45,B37)+COUNTIF('جميع الضيوف'!$K$6:$K$45,B37)+COUNTIF('توزيع الضيوف'!$G$6:$G$45,B37)</x:f>
        <x:v>0</x:v>
      </x:c>
    </x:row>
    <x:row r="38" ht="30" customHeight="1">
      <x:c r="A38" s="25" t="str">
        <x:v>ST-033</x:v>
      </x:c>
      <x:c r="B38" s="25" t="str">
        <x:v>حمد الشمري</x:v>
      </x:c>
      <x:c r="C38" s="25" t="str">
        <x:v>أعضاء المسار</x:v>
      </x:c>
      <x:c r="D38" s="25" t="str">
        <x:v>عضو تنظيم ودعم</x:v>
      </x:c>
      <x:c r="E38" s="25" t="str">
        <x:v>محكمو معرض الابتكار</x:v>
      </x:c>
      <x:c r="F38" s="25" t="str">
        <x:v>معرض الابتكار</x:v>
      </x:c>
      <x:c r="G38" s="25" t="str">
        <x:v>البوابة D</x:v>
      </x:c>
      <x:c r="H38" s="25" t="str">
        <x:v>منطقة معرض الابتكار</x:v>
      </x:c>
      <x:c r="I38" s="25" t="str">
        <x:v>مي العبدالله</x:v>
      </x:c>
      <x:c r="J38" s="67" t="str">
        <x:v>05XX-XXX-1033</x:v>
      </x:c>
      <x:c r="K38" s="67" t="str">
        <x:v>staff033@example.com</x:v>
      </x:c>
      <x:c r="L38" s="25" t="str">
        <x:v>الفترة المسائية</x:v>
      </x:c>
      <x:c r="M38" s="25" t="str">
        <x:v>مكلف</x:v>
      </x:c>
      <x:c r="N38" s="25" t="str">
        <x:v>إسناد مهام تشغيلية ودعم عند الحاجة</x:v>
      </x:c>
      <x:c r="O38" s="25" t="str">
        <x:v>دعم إضافي؛ غير مسند في قائمة الضيوف حاليًا</x:v>
      </x:c>
      <x:c r="P38" s="68" t="n">
        <x:f>COUNTIF('جميع الضيوف'!$J$6:$J$45,B38)+COUNTIF('جميع الضيوف'!$K$6:$K$45,B38)+COUNTIF('توزيع الضيوف'!$G$6:$G$45,B38)</x:f>
        <x:v>0</x:v>
      </x:c>
    </x:row>
    <x:row r="39" ht="30" customHeight="1">
      <x:c r="A39" s="25" t="str">
        <x:v>ST-034</x:v>
      </x:c>
      <x:c r="B39" s="25" t="str">
        <x:v>أحمد السويلم</x:v>
      </x:c>
      <x:c r="C39" s="25" t="str">
        <x:v>مسؤولو المناطق</x:v>
      </x:c>
      <x:c r="D39" s="25" t="str">
        <x:v>مسؤول بوابة ومنطقة</x:v>
      </x:c>
      <x:c r="E39" s="25" t="str">
        <x:v>مناطق الدخول</x:v>
      </x:c>
      <x:c r="F39" s="25" t="str">
        <x:v>مركز مراقبة البوابة A</x:v>
      </x:c>
      <x:c r="G39" s="25" t="str">
        <x:v>البوابة A</x:v>
      </x:c>
      <x:c r="H39" s="25" t="str">
        <x:v>منطقة كبار الشخصيات</x:v>
      </x:c>
      <x:c r="I39" s="25" t="str">
        <x:v>ريان العتيبي</x:v>
      </x:c>
      <x:c r="J39" s="67" t="str">
        <x:v>05XX-XXX-1034</x:v>
      </x:c>
      <x:c r="K39" s="67" t="str">
        <x:v>staff034@example.com</x:v>
      </x:c>
      <x:c r="L39" s="25" t="str">
        <x:v>كامل الحدث</x:v>
      </x:c>
      <x:c r="M39" s="25" t="str">
        <x:v>مكلف</x:v>
      </x:c>
      <x:c r="N39" s="25" t="str">
        <x:v>توجيه الوصول إلى المستقبل المكلف</x:v>
      </x:c>
      <x:c r="O39" s="25" t="str"/>
      <x:c r="P39" s="68" t="n">
        <x:f>COUNTIF('جميع الضيوف'!$J$6:$J$45,B39)+COUNTIF('جميع الضيوف'!$K$6:$K$45,B39)+COUNTIF('توزيع الضيوف'!$G$6:$G$45,B39)</x:f>
        <x:v>10</x:v>
      </x:c>
    </x:row>
    <x:row r="40" ht="30" customHeight="1">
      <x:c r="A40" s="25" t="str">
        <x:v>ST-035</x:v>
      </x:c>
      <x:c r="B40" s="25" t="str">
        <x:v>دلال المري</x:v>
      </x:c>
      <x:c r="C40" s="25" t="str">
        <x:v>مسؤولو المناطق</x:v>
      </x:c>
      <x:c r="D40" s="25" t="str">
        <x:v>مسؤول بوابة ومنطقة</x:v>
      </x:c>
      <x:c r="E40" s="25" t="str">
        <x:v>مناطق الدخول</x:v>
      </x:c>
      <x:c r="F40" s="25" t="str">
        <x:v>مركز مراقبة البوابة B</x:v>
      </x:c>
      <x:c r="G40" s="25" t="str">
        <x:v>البوابة B</x:v>
      </x:c>
      <x:c r="H40" s="25" t="str">
        <x:v>منطقة المحكمين الدوليين</x:v>
      </x:c>
      <x:c r="I40" s="25" t="str">
        <x:v>ريان العتيبي</x:v>
      </x:c>
      <x:c r="J40" s="67" t="str">
        <x:v>05XX-XXX-1035</x:v>
      </x:c>
      <x:c r="K40" s="67" t="str">
        <x:v>staff035@example.com</x:v>
      </x:c>
      <x:c r="L40" s="25" t="str">
        <x:v>كامل الحدث</x:v>
      </x:c>
      <x:c r="M40" s="25" t="str">
        <x:v>مكلف</x:v>
      </x:c>
      <x:c r="N40" s="25" t="str">
        <x:v>توجيه الوصول إلى المستقبل المكلف</x:v>
      </x:c>
      <x:c r="O40" s="25" t="str"/>
      <x:c r="P40" s="68" t="n">
        <x:f>COUNTIF('جميع الضيوف'!$J$6:$J$45,B40)+COUNTIF('جميع الضيوف'!$K$6:$K$45,B40)+COUNTIF('توزيع الضيوف'!$G$6:$G$45,B40)</x:f>
        <x:v>10</x:v>
      </x:c>
    </x:row>
    <x:row r="41" ht="30" customHeight="1">
      <x:c r="A41" s="25" t="str">
        <x:v>ST-036</x:v>
      </x:c>
      <x:c r="B41" s="25" t="str">
        <x:v>عبدالعزيز البحيري</x:v>
      </x:c>
      <x:c r="C41" s="25" t="str">
        <x:v>مسؤولو المناطق</x:v>
      </x:c>
      <x:c r="D41" s="25" t="str">
        <x:v>مسؤول بوابة ومنطقة</x:v>
      </x:c>
      <x:c r="E41" s="25" t="str">
        <x:v>مناطق الدخول</x:v>
      </x:c>
      <x:c r="F41" s="25" t="str">
        <x:v>مركز مراقبة البوابة C</x:v>
      </x:c>
      <x:c r="G41" s="25" t="str">
        <x:v>البوابة C</x:v>
      </x:c>
      <x:c r="H41" s="25" t="str">
        <x:v>منطقة المرشدين</x:v>
      </x:c>
      <x:c r="I41" s="25" t="str">
        <x:v>ريان العتيبي</x:v>
      </x:c>
      <x:c r="J41" s="67" t="str">
        <x:v>05XX-XXX-1036</x:v>
      </x:c>
      <x:c r="K41" s="67" t="str">
        <x:v>staff036@example.com</x:v>
      </x:c>
      <x:c r="L41" s="25" t="str">
        <x:v>كامل الحدث</x:v>
      </x:c>
      <x:c r="M41" s="25" t="str">
        <x:v>مكلف</x:v>
      </x:c>
      <x:c r="N41" s="25" t="str">
        <x:v>توجيه الوصول إلى المستقبل المكلف</x:v>
      </x:c>
      <x:c r="O41" s="25" t="str"/>
      <x:c r="P41" s="68" t="n">
        <x:f>COUNTIF('جميع الضيوف'!$J$6:$J$45,B41)+COUNTIF('جميع الضيوف'!$K$6:$K$45,B41)+COUNTIF('توزيع الضيوف'!$G$6:$G$45,B41)</x:f>
        <x:v>10</x:v>
      </x:c>
    </x:row>
    <x:row r="42" ht="30" customHeight="1">
      <x:c r="A42" s="25" t="str">
        <x:v>ST-037</x:v>
      </x:c>
      <x:c r="B42" s="25" t="str">
        <x:v>وسن الفهد</x:v>
      </x:c>
      <x:c r="C42" s="25" t="str">
        <x:v>مسؤولو المناطق</x:v>
      </x:c>
      <x:c r="D42" s="25" t="str">
        <x:v>مسؤول بوابة ومنطقة</x:v>
      </x:c>
      <x:c r="E42" s="25" t="str">
        <x:v>مناطق الدخول</x:v>
      </x:c>
      <x:c r="F42" s="25" t="str">
        <x:v>مركز مراقبة البوابة D</x:v>
      </x:c>
      <x:c r="G42" s="25" t="str">
        <x:v>البوابة D</x:v>
      </x:c>
      <x:c r="H42" s="25" t="str">
        <x:v>منطقة معرض الابتكار</x:v>
      </x:c>
      <x:c r="I42" s="25" t="str">
        <x:v>ريان العتيبي</x:v>
      </x:c>
      <x:c r="J42" s="67" t="str">
        <x:v>05XX-XXX-1037</x:v>
      </x:c>
      <x:c r="K42" s="67" t="str">
        <x:v>staff037@example.com</x:v>
      </x:c>
      <x:c r="L42" s="25" t="str">
        <x:v>كامل الحدث</x:v>
      </x:c>
      <x:c r="M42" s="25" t="str">
        <x:v>مكلف</x:v>
      </x:c>
      <x:c r="N42" s="25" t="str">
        <x:v>توجيه الوصول إلى المستقبل المكلف</x:v>
      </x:c>
      <x:c r="O42" s="25" t="str"/>
      <x:c r="P42" s="68" t="n">
        <x:f>COUNTIF('جميع الضيوف'!$J$6:$J$45,B42)+COUNTIF('جميع الضيوف'!$K$6:$K$45,B42)+COUNTIF('توزيع الضيوف'!$G$6:$G$45,B42)</x:f>
        <x:v>10</x:v>
      </x:c>
    </x:row>
    <x:row r="43" ht="30" customHeight="1">
      <x:c r="A43" s="25" t="str">
        <x:v>ST-038</x:v>
      </x:c>
      <x:c r="B43" s="25" t="str">
        <x:v>شذى الشمري</x:v>
      </x:c>
      <x:c r="C43" s="25" t="str">
        <x:v>ممثل لجنة مساندة</x:v>
      </x:c>
      <x:c r="D43" s="25" t="str">
        <x:v>نقطة اتصال – لجنة المواقف</x:v>
      </x:c>
      <x:c r="E43" s="25" t="str">
        <x:v>لجنة المواقف</x:v>
      </x:c>
      <x:c r="F43" s="25" t="str">
        <x:v>نقطة تنسيق المواقف</x:v>
      </x:c>
      <x:c r="G43" s="25" t="str">
        <x:v>جميع البوابات</x:v>
      </x:c>
      <x:c r="H43" s="25" t="str">
        <x:v>المواقف</x:v>
      </x:c>
      <x:c r="I43" s="25" t="str">
        <x:v>أريج الدوسري</x:v>
      </x:c>
      <x:c r="J43" s="67" t="str">
        <x:v>05XX-XXX-1038</x:v>
      </x:c>
      <x:c r="K43" s="67" t="str">
        <x:v>staff038@example.com</x:v>
      </x:c>
      <x:c r="L43" s="25" t="str">
        <x:v>كامل الحدث</x:v>
      </x:c>
      <x:c r="M43" s="25" t="str">
        <x:v>مكلف</x:v>
      </x:c>
      <x:c r="N43" s="25" t="str">
        <x:v>استقبال إشعارات المواقف</x:v>
      </x:c>
      <x:c r="O43" s="25" t="str"/>
      <x:c r="P43" s="68" t="n">
        <x:f>COUNTIF('جميع الضيوف'!$J$6:$J$45,B43)+COUNTIF('جميع الضيوف'!$K$6:$K$45,B43)+COUNTIF('توزيع الضيوف'!$G$6:$G$45,B43)</x:f>
        <x:v>0</x:v>
      </x:c>
    </x:row>
    <x:row r="44" ht="30" customHeight="1">
      <x:c r="A44" s="25" t="str">
        <x:v>ST-039</x:v>
      </x:c>
      <x:c r="B44" s="25" t="str">
        <x:v>مها الخالد</x:v>
      </x:c>
      <x:c r="C44" s="25" t="str">
        <x:v>ممثل لجنة مساندة</x:v>
      </x:c>
      <x:c r="D44" s="25" t="str">
        <x:v>نقطة اتصال – لجنة التسجيل</x:v>
      </x:c>
      <x:c r="E44" s="25" t="str">
        <x:v>لجنة التسجيل</x:v>
      </x:c>
      <x:c r="F44" s="25" t="str">
        <x:v>كاونتر التسجيل المركزي</x:v>
      </x:c>
      <x:c r="G44" s="25" t="str">
        <x:v>جميع البوابات</x:v>
      </x:c>
      <x:c r="H44" s="25" t="str">
        <x:v>التسجيل</x:v>
      </x:c>
      <x:c r="I44" s="25" t="str">
        <x:v>أريج الدوسري</x:v>
      </x:c>
      <x:c r="J44" s="67" t="str">
        <x:v>05XX-XXX-1039</x:v>
      </x:c>
      <x:c r="K44" s="67" t="str">
        <x:v>staff039@example.com</x:v>
      </x:c>
      <x:c r="L44" s="25" t="str">
        <x:v>كامل الحدث</x:v>
      </x:c>
      <x:c r="M44" s="25" t="str">
        <x:v>مكلف</x:v>
      </x:c>
      <x:c r="N44" s="25" t="str">
        <x:v>اعتماد تسجيل الضيف وتسليم بطاقته</x:v>
      </x:c>
      <x:c r="O44" s="25" t="str"/>
      <x:c r="P44" s="68" t="n">
        <x:f>COUNTIF('جميع الضيوف'!$J$6:$J$45,B44)+COUNTIF('جميع الضيوف'!$K$6:$K$45,B44)+COUNTIF('توزيع الضيوف'!$G$6:$G$45,B44)</x:f>
        <x:v>0</x:v>
      </x:c>
    </x:row>
    <x:row r="45" ht="30" customHeight="1">
      <x:c r="A45" s="25" t="str">
        <x:v>ST-040</x:v>
      </x:c>
      <x:c r="B45" s="25" t="str">
        <x:v>عبدالمحسن السبيعي</x:v>
      </x:c>
      <x:c r="C45" s="25" t="str">
        <x:v>ممثل لجنة مساندة</x:v>
      </x:c>
      <x:c r="D45" s="25" t="str">
        <x:v>نقطة اتصال – اللجنة التقنية</x:v>
      </x:c>
      <x:c r="E45" s="25" t="str">
        <x:v>اللجنة التقنية</x:v>
      </x:c>
      <x:c r="F45" s="25" t="str">
        <x:v>مكتب الدعم التقني</x:v>
      </x:c>
      <x:c r="G45" s="25" t="str">
        <x:v>جميع البوابات</x:v>
      </x:c>
      <x:c r="H45" s="25" t="str">
        <x:v>مركز الدعم</x:v>
      </x:c>
      <x:c r="I45" s="25" t="str">
        <x:v>أريج الدوسري</x:v>
      </x:c>
      <x:c r="J45" s="67" t="str">
        <x:v>05XX-XXX-1040</x:v>
      </x:c>
      <x:c r="K45" s="67" t="str">
        <x:v>staff040@example.com</x:v>
      </x:c>
      <x:c r="L45" s="25" t="str">
        <x:v>كامل الحدث</x:v>
      </x:c>
      <x:c r="M45" s="25" t="str">
        <x:v>مكلف</x:v>
      </x:c>
      <x:c r="N45" s="25" t="str">
        <x:v>حل بلاغات الأجهزة والأنظمة</x:v>
      </x:c>
      <x:c r="O45" s="25" t="str"/>
      <x:c r="P45" s="68" t="n">
        <x:f>COUNTIF('جميع الضيوف'!$J$6:$J$45,B45)+COUNTIF('جميع الضيوف'!$K$6:$K$45,B45)+COUNTIF('توزيع الضيوف'!$G$6:$G$45,B45)</x:f>
        <x:v>0</x:v>
      </x:c>
    </x:row>
    <x:row r="46" ht="30" customHeight="1">
      <x:c r="A46" s="25" t="str">
        <x:v>ST-041</x:v>
      </x:c>
      <x:c r="B46" s="25" t="str">
        <x:v>هيا المنصور</x:v>
      </x:c>
      <x:c r="C46" s="25" t="str">
        <x:v>ممثل لجنة مساندة</x:v>
      </x:c>
      <x:c r="D46" s="25" t="str">
        <x:v>نقطة اتصال – لجنة الضيافة</x:v>
      </x:c>
      <x:c r="E46" s="25" t="str">
        <x:v>لجنة الضيافة</x:v>
      </x:c>
      <x:c r="F46" s="25" t="str">
        <x:v>صالة الضيافة</x:v>
      </x:c>
      <x:c r="G46" s="25" t="str">
        <x:v>جميع البوابات</x:v>
      </x:c>
      <x:c r="H46" s="25" t="str">
        <x:v>الضيافة</x:v>
      </x:c>
      <x:c r="I46" s="25" t="str">
        <x:v>أريج الدوسري</x:v>
      </x:c>
      <x:c r="J46" s="67" t="str">
        <x:v>05XX-XXX-1041</x:v>
      </x:c>
      <x:c r="K46" s="67" t="str">
        <x:v>staff041@example.com</x:v>
      </x:c>
      <x:c r="L46" s="25" t="str">
        <x:v>كامل الحدث</x:v>
      </x:c>
      <x:c r="M46" s="25" t="str">
        <x:v>مكلف</x:v>
      </x:c>
      <x:c r="N46" s="25" t="str">
        <x:v>تنسيق احتياجات الضيوف</x:v>
      </x:c>
      <x:c r="O46" s="25" t="str"/>
      <x:c r="P46" s="68" t="n">
        <x:f>COUNTIF('جميع الضيوف'!$J$6:$J$45,B46)+COUNTIF('جميع الضيوف'!$K$6:$K$45,B46)+COUNTIF('توزيع الضيوف'!$G$6:$G$45,B46)</x:f>
        <x:v>0</x:v>
      </x:c>
    </x:row>
    <x:row r="47" ht="30" customHeight="1">
      <x:c r="A47" s="25" t="str">
        <x:v>ST-042</x:v>
      </x:c>
      <x:c r="B47" s="25" t="str">
        <x:v>تركي العريفي</x:v>
      </x:c>
      <x:c r="C47" s="25" t="str">
        <x:v>ممثل لجنة مساندة</x:v>
      </x:c>
      <x:c r="D47" s="25" t="str">
        <x:v>نقطة اتصال – لجنة الأمن والسلامة</x:v>
      </x:c>
      <x:c r="E47" s="25" t="str">
        <x:v>لجنة الأمن والسلامة</x:v>
      </x:c>
      <x:c r="F47" s="25" t="str">
        <x:v>غرفة التنسيق الأمني</x:v>
      </x:c>
      <x:c r="G47" s="25" t="str">
        <x:v>جميع البوابات</x:v>
      </x:c>
      <x:c r="H47" s="25" t="str">
        <x:v>السلامة</x:v>
      </x:c>
      <x:c r="I47" s="25" t="str">
        <x:v>أريج الدوسري</x:v>
      </x:c>
      <x:c r="J47" s="67" t="str">
        <x:v>05XX-XXX-1042</x:v>
      </x:c>
      <x:c r="K47" s="67" t="str">
        <x:v>staff042@example.com</x:v>
      </x:c>
      <x:c r="L47" s="25" t="str">
        <x:v>كامل الحدث</x:v>
      </x:c>
      <x:c r="M47" s="25" t="str">
        <x:v>مكلف</x:v>
      </x:c>
      <x:c r="N47" s="25" t="str">
        <x:v>تنسيق الحالات مع الجهات المختصة</x:v>
      </x:c>
      <x:c r="O47" s="25" t="str"/>
      <x:c r="P47" s="68" t="n">
        <x:f>COUNTIF('جميع الضيوف'!$J$6:$J$45,B47)+COUNTIF('جميع الضيوف'!$K$6:$K$45,B47)+COUNTIF('توزيع الضيوف'!$G$6:$G$45,B47)</x:f>
        <x:v>0</x:v>
      </x:c>
    </x:row>
  </x:sheetData>
  <x:mergeCells>
    <x:mergeCell ref="A1:P1"/>
    <x:mergeCell ref="A2:P2"/>
    <x:mergeCell ref="A3:P3"/>
  </x:mergeCells>
  <x:conditionalFormatting sqref="M6:M47">
    <x:cfRule type="expression" dxfId="20" priority="1">
      <x:formula>M6="حاضر"</x:formula>
    </x:cfRule>
    <x:cfRule type="expression" dxfId="21" priority="2">
      <x:formula>M6="غير متاح"</x:formula>
    </x:cfRule>
  </x:conditionalFormatting>
  <x:dataValidations count="2">
    <x:dataValidation type="list" sqref="L6:L47">
      <x:formula1>"كامل الحدث,الفترة الصباحية,الفترة المسائية,صباحية / مسائية,احتياط"</x:formula1>
    </x:dataValidation>
    <x:dataValidation type="list" sqref="M6:M47">
      <x:formula1>"مكلف,مؤكد الحضور,حاضر,غير متاح,احتياط"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54be9196a654eed"/>
  </x:tableParts>
</x:worksheet>
</file>

<file path=xl/worksheets/sheet8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32" hidden="0" customWidth="1"/>
    <x:col min="4" max="4" width="22" hidden="0" customWidth="1"/>
    <x:col min="5" max="5" width="24" hidden="0" customWidth="1"/>
    <x:col min="6" max="6" width="22" hidden="0" customWidth="1"/>
    <x:col min="7" max="7" width="22" hidden="0" customWidth="1"/>
    <x:col min="8" max="8" width="34" hidden="0" customWidth="1"/>
    <x:col min="9" max="9" width="18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2" hidden="0" customWidth="1"/>
    <x:col min="15" max="15" width="23" hidden="0" customWidth="1"/>
    <x:col min="16" max="16" width="20" hidden="0" customWidth="1"/>
    <x:col min="17" max="17" width="18" hidden="0" customWidth="1"/>
    <x:col min="18" max="18" width="42" hidden="0" customWidth="1"/>
  </x:cols>
  <x:sheetData>
    <x:row r="1" ht="38" customHeight="1">
      <x:c r="A1" s="55" t="str">
        <x:v>EVENTOPS AI  |  ربط الضيوف بالفريق والمناطق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</x:row>
    <x:row r="2" ht="29" customHeight="1">
      <x:c r="A2" s="58" t="str">
        <x:v>40 ضيفًا مرتبطًا بالمسارات الأربعة؛ أسماء القادة والمستقبلين متطابقة مع السجل الأصلي</x:v>
      </x:c>
      <x:c r="B2" s="58"/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  <x:c r="O2" s="58"/>
      <x:c r="P2" s="58"/>
      <x:c r="Q2" s="58"/>
      <x:c r="R2" s="58"/>
    </x:row>
    <x:row r="3" ht="26" customHeight="1">
      <x:c r="A3" s="61" t="str">
        <x:v>أعمدة «البوابة المحددة عند الوصول» و«الموقف المحدد عند الوصول» و«حالة الوصول» مخصصة لمحاكاة التشغيل.</x:v>
      </x:c>
      <x:c r="B3" s="61"/>
      <x:c r="C3" s="61"/>
      <x:c r="D3" s="61"/>
      <x:c r="E3" s="61"/>
      <x:c r="F3" s="61"/>
      <x:c r="G3" s="61"/>
      <x:c r="H3" s="61"/>
      <x:c r="I3" s="61"/>
      <x:c r="J3" s="61"/>
      <x:c r="K3" s="61"/>
      <x:c r="L3" s="61"/>
      <x:c r="M3" s="61"/>
      <x:c r="N3" s="61"/>
      <x:c r="O3" s="61"/>
      <x:c r="P3" s="61"/>
      <x:c r="Q3" s="61"/>
      <x:c r="R3" s="61"/>
    </x:row>
    <x:row r="5" ht="36" customHeight="1">
      <x:c r="A5" s="65" t="str">
        <x:v>معرّف الضيف</x:v>
      </x:c>
      <x:c r="B5" s="65" t="str">
        <x:v>اسم الضيف</x:v>
      </x:c>
      <x:c r="C5" s="65" t="str">
        <x:v>المسار</x:v>
      </x:c>
      <x:c r="D5" s="65" t="str">
        <x:v>قائد المسار</x:v>
      </x:c>
      <x:c r="E5" s="65" t="str">
        <x:v>عضو الاستقبال</x:v>
      </x:c>
      <x:c r="F5" s="65" t="str">
        <x:v>البوابة الافتراضية</x:v>
      </x:c>
      <x:c r="G5" s="65" t="str">
        <x:v>مسؤول البوابة</x:v>
      </x:c>
      <x:c r="H5" s="65" t="str">
        <x:v>الوجهة المخصصة</x:v>
      </x:c>
      <x:c r="I5" s="65" t="str">
        <x:v>حالة الدعوة</x:v>
      </x:c>
      <x:c r="J5" s="65" t="str">
        <x:v>جوال المستقبل</x:v>
      </x:c>
      <x:c r="K5" s="65" t="str">
        <x:v>جوال قائد المسار</x:v>
      </x:c>
      <x:c r="L5" s="65" t="str">
        <x:v>جوال مسؤول البوابة</x:v>
      </x:c>
      <x:c r="M5" s="65" t="str">
        <x:v>جوال الضيف التجريبي</x:v>
      </x:c>
      <x:c r="N5" s="65" t="str">
        <x:v>البوابة المحددة عند الوصول</x:v>
      </x:c>
      <x:c r="O5" s="65" t="str">
        <x:v>الموقف المحدد عند الوصول</x:v>
      </x:c>
      <x:c r="P5" s="65" t="str">
        <x:v>حالة الوصول</x:v>
      </x:c>
      <x:c r="Q5" s="65" t="str">
        <x:v>تدقيق التكليف</x:v>
      </x:c>
      <x:c r="R5" s="65" t="str">
        <x:v>ملاحظة</x:v>
      </x:c>
    </x:row>
    <x:row r="6" ht="29" customHeight="1">
      <x:c r="A6" s="25" t="str">
        <x:v>GST-001</x:v>
      </x:c>
      <x:c r="B6" s="25" t="str">
        <x:f>'جميع الضيوف'!C6</x:f>
        <x:v>عبدالرحمن السالم</x:v>
      </x:c>
      <x:c r="C6" s="25" t="str">
        <x:f>'جميع الضيوف'!F6</x:f>
        <x:v>المستثمرون – يوم العروض</x:v>
      </x:c>
      <x:c r="D6" s="25" t="str">
        <x:f>'جميع الضيوف'!J6</x:f>
        <x:v>نادر الحربي</x:v>
      </x:c>
      <x:c r="E6" s="25" t="str">
        <x:f>'جميع الضيوف'!K6</x:f>
        <x:v>هناء الماجد</x:v>
      </x:c>
      <x:c r="F6" s="25" t="str">
        <x:f>IFERROR(VLOOKUP(C6,'خريطة التشغيل'!$A$6:$F$9,2,FALSE),"غير محدد")</x:f>
        <x:v>البوابة A</x:v>
      </x:c>
      <x:c r="G6" s="25" t="str">
        <x:f>IFERROR(VLOOKUP(C6,'خريطة التشغيل'!$A$6:$F$9,4,FALSE),"غير محدد")</x:f>
        <x:v>أحمد السويلم</x:v>
      </x:c>
      <x:c r="H6" s="25" t="str">
        <x:f>IFERROR(VLOOKUP(C6,'خريطة التشغيل'!$A$6:$F$9,5,FALSE),"غير محدد")</x:f>
        <x:v>قاعة Demo Day</x:v>
      </x:c>
      <x:c r="I6" s="25" t="str">
        <x:f>'جميع الضيوف'!I6</x:f>
        <x:v>مؤكد</x:v>
      </x:c>
      <x:c r="J6" s="25" t="str">
        <x:f>IFERROR(VLOOKUP(E6,'الفريق الكامل'!$B$6:$J$47,9,FALSE),"غير محدد")</x:f>
        <x:v>05XX-XXX-1005</x:v>
      </x:c>
      <x:c r="K6" s="25" t="str">
        <x:f>IFERROR(VLOOKUP(D6,'الفريق الكامل'!$B$6:$J$47,9,FALSE),"غير محدد")</x:f>
        <x:v>05XX-XXX-1003</x:v>
      </x:c>
      <x:c r="L6" s="25" t="str">
        <x:f>IFERROR(VLOOKUP(G6,'الفريق الكامل'!$B$6:$J$47,9,FALSE),"غير محدد")</x:f>
        <x:v>05XX-XXX-1034</x:v>
      </x:c>
      <x:c r="M6" s="25" t="str">
        <x:f>'جميع الضيوف'!G6</x:f>
        <x:v>05XX-XXX-0001</x:v>
      </x:c>
      <x:c r="N6" s="79"/>
      <x:c r="O6" s="79"/>
      <x:c r="P6" s="79" t="str">
        <x:v>لم يبلغ بعد</x:v>
      </x:c>
      <x:c r="Q6" s="80" t="str">
        <x:f>IF(AND(COUNTIF('الفريق الكامل'!$B$6:$B$47,E6)=1,COUNTIF('الفريق الكامل'!$B$6:$B$47,D6)=1,IFERROR(VLOOKUP(E6,'الفريق الكامل'!$B$6:$E$47,4,FALSE),"")=C6,IFERROR(VLOOKUP(D6,'الفريق الكامل'!$B$6:$E$47,4,FALSE),"")=C6),"مطابق","تحقق من التكليف")</x:f>
        <x:v>مطابق</x:v>
      </x:c>
      <x:c r="R6" s="25" t="str">
        <x:v>تعيين تجريبي؛ البوابة الفعلية يختارها الضيف</x:v>
      </x:c>
    </x:row>
    <x:row r="7" ht="29" customHeight="1">
      <x:c r="A7" s="25" t="str">
        <x:v>GST-002</x:v>
      </x:c>
      <x:c r="B7" s="25" t="str">
        <x:f>'جميع الضيوف'!C7</x:f>
        <x:v>رُبى الشمري</x:v>
      </x:c>
      <x:c r="C7" s="25" t="str">
        <x:f>'جميع الضيوف'!F7</x:f>
        <x:v>المستثمرون – يوم العروض</x:v>
      </x:c>
      <x:c r="D7" s="25" t="str">
        <x:f>'جميع الضيوف'!J7</x:f>
        <x:v>نادر الحربي</x:v>
      </x:c>
      <x:c r="E7" s="25" t="str">
        <x:f>'جميع الضيوف'!K7</x:f>
        <x:v>سامي الوهيبي</x:v>
      </x:c>
      <x:c r="F7" s="25" t="str">
        <x:f>IFERROR(VLOOKUP(C7,'خريطة التشغيل'!$A$6:$F$9,2,FALSE),"غير محدد")</x:f>
        <x:v>البوابة A</x:v>
      </x:c>
      <x:c r="G7" s="25" t="str">
        <x:f>IFERROR(VLOOKUP(C7,'خريطة التشغيل'!$A$6:$F$9,4,FALSE),"غير محدد")</x:f>
        <x:v>أحمد السويلم</x:v>
      </x:c>
      <x:c r="H7" s="25" t="str">
        <x:f>IFERROR(VLOOKUP(C7,'خريطة التشغيل'!$A$6:$F$9,5,FALSE),"غير محدد")</x:f>
        <x:v>قاعة Demo Day</x:v>
      </x:c>
      <x:c r="I7" s="25" t="str">
        <x:f>'جميع الضيوف'!I7</x:f>
        <x:v>مؤكد</x:v>
      </x:c>
      <x:c r="J7" s="25" t="str">
        <x:f>IFERROR(VLOOKUP(E7,'الفريق الكامل'!$B$6:$J$47,9,FALSE),"غير محدد")</x:f>
        <x:v>05XX-XXX-1006</x:v>
      </x:c>
      <x:c r="K7" s="25" t="str">
        <x:f>IFERROR(VLOOKUP(D7,'الفريق الكامل'!$B$6:$J$47,9,FALSE),"غير محدد")</x:f>
        <x:v>05XX-XXX-1003</x:v>
      </x:c>
      <x:c r="L7" s="25" t="str">
        <x:f>IFERROR(VLOOKUP(G7,'الفريق الكامل'!$B$6:$J$47,9,FALSE),"غير محدد")</x:f>
        <x:v>05XX-XXX-1034</x:v>
      </x:c>
      <x:c r="M7" s="25" t="str">
        <x:f>'جميع الضيوف'!G7</x:f>
        <x:v>05XX-XXX-0002</x:v>
      </x:c>
      <x:c r="N7" s="79"/>
      <x:c r="O7" s="79"/>
      <x:c r="P7" s="79" t="str">
        <x:v>لم يبلغ بعد</x:v>
      </x:c>
      <x:c r="Q7" s="80" t="str">
        <x:f>IF(AND(COUNTIF('الفريق الكامل'!$B$6:$B$47,E7)=1,COUNTIF('الفريق الكامل'!$B$6:$B$47,D7)=1,IFERROR(VLOOKUP(E7,'الفريق الكامل'!$B$6:$E$47,4,FALSE),"")=C7,IFERROR(VLOOKUP(D7,'الفريق الكامل'!$B$6:$E$47,4,FALSE),"")=C7),"مطابق","تحقق من التكليف")</x:f>
        <x:v>مطابق</x:v>
      </x:c>
      <x:c r="R7" s="25" t="str">
        <x:v>تعيين تجريبي؛ البوابة الفعلية يختارها الضيف</x:v>
      </x:c>
    </x:row>
    <x:row r="8" ht="29" customHeight="1">
      <x:c r="A8" s="25" t="str">
        <x:v>GST-003</x:v>
      </x:c>
      <x:c r="B8" s="25" t="str">
        <x:f>'جميع الضيوف'!C8</x:f>
        <x:v>سلمان الهزاع</x:v>
      </x:c>
      <x:c r="C8" s="25" t="str">
        <x:f>'جميع الضيوف'!F8</x:f>
        <x:v>المستثمرون – يوم العروض</x:v>
      </x:c>
      <x:c r="D8" s="25" t="str">
        <x:f>'جميع الضيوف'!J8</x:f>
        <x:v>نادر الحربي</x:v>
      </x:c>
      <x:c r="E8" s="25" t="str">
        <x:f>'جميع الضيوف'!K8</x:f>
        <x:v>ريم السهلي</x:v>
      </x:c>
      <x:c r="F8" s="25" t="str">
        <x:f>IFERROR(VLOOKUP(C8,'خريطة التشغيل'!$A$6:$F$9,2,FALSE),"غير محدد")</x:f>
        <x:v>البوابة A</x:v>
      </x:c>
      <x:c r="G8" s="25" t="str">
        <x:f>IFERROR(VLOOKUP(C8,'خريطة التشغيل'!$A$6:$F$9,4,FALSE),"غير محدد")</x:f>
        <x:v>أحمد السويلم</x:v>
      </x:c>
      <x:c r="H8" s="25" t="str">
        <x:f>IFERROR(VLOOKUP(C8,'خريطة التشغيل'!$A$6:$F$9,5,FALSE),"غير محدد")</x:f>
        <x:v>قاعة Demo Day</x:v>
      </x:c>
      <x:c r="I8" s="25" t="str">
        <x:f>'جميع الضيوف'!I8</x:f>
        <x:v>بانتظار التأكيد</x:v>
      </x:c>
      <x:c r="J8" s="25" t="str">
        <x:f>IFERROR(VLOOKUP(E8,'الفريق الكامل'!$B$6:$J$47,9,FALSE),"غير محدد")</x:f>
        <x:v>05XX-XXX-1007</x:v>
      </x:c>
      <x:c r="K8" s="25" t="str">
        <x:f>IFERROR(VLOOKUP(D8,'الفريق الكامل'!$B$6:$J$47,9,FALSE),"غير محدد")</x:f>
        <x:v>05XX-XXX-1003</x:v>
      </x:c>
      <x:c r="L8" s="25" t="str">
        <x:f>IFERROR(VLOOKUP(G8,'الفريق الكامل'!$B$6:$J$47,9,FALSE),"غير محدد")</x:f>
        <x:v>05XX-XXX-1034</x:v>
      </x:c>
      <x:c r="M8" s="25" t="str">
        <x:f>'جميع الضيوف'!G8</x:f>
        <x:v>05XX-XXX-0003</x:v>
      </x:c>
      <x:c r="N8" s="79"/>
      <x:c r="O8" s="79"/>
      <x:c r="P8" s="79" t="str">
        <x:v>لم يبلغ بعد</x:v>
      </x:c>
      <x:c r="Q8" s="80" t="str">
        <x:f>IF(AND(COUNTIF('الفريق الكامل'!$B$6:$B$47,E8)=1,COUNTIF('الفريق الكامل'!$B$6:$B$47,D8)=1,IFERROR(VLOOKUP(E8,'الفريق الكامل'!$B$6:$E$47,4,FALSE),"")=C8,IFERROR(VLOOKUP(D8,'الفريق الكامل'!$B$6:$E$47,4,FALSE),"")=C8),"مطابق","تحقق من التكليف")</x:f>
        <x:v>مطابق</x:v>
      </x:c>
      <x:c r="R8" s="25" t="str">
        <x:v>تعيين تجريبي؛ البوابة الفعلية يختارها الضيف</x:v>
      </x:c>
    </x:row>
    <x:row r="9" ht="29" customHeight="1">
      <x:c r="A9" s="25" t="str">
        <x:v>GST-004</x:v>
      </x:c>
      <x:c r="B9" s="25" t="str">
        <x:f>'جميع الضيوف'!C9</x:f>
        <x:v>مشاعل الناصر</x:v>
      </x:c>
      <x:c r="C9" s="25" t="str">
        <x:f>'جميع الضيوف'!F9</x:f>
        <x:v>المستثمرون – يوم العروض</x:v>
      </x:c>
      <x:c r="D9" s="25" t="str">
        <x:f>'جميع الضيوف'!J9</x:f>
        <x:v>نادر الحربي</x:v>
      </x:c>
      <x:c r="E9" s="25" t="str">
        <x:f>'جميع الضيوف'!K9</x:f>
        <x:v>هناء الماجد</x:v>
      </x:c>
      <x:c r="F9" s="25" t="str">
        <x:f>IFERROR(VLOOKUP(C9,'خريطة التشغيل'!$A$6:$F$9,2,FALSE),"غير محدد")</x:f>
        <x:v>البوابة A</x:v>
      </x:c>
      <x:c r="G9" s="25" t="str">
        <x:f>IFERROR(VLOOKUP(C9,'خريطة التشغيل'!$A$6:$F$9,4,FALSE),"غير محدد")</x:f>
        <x:v>أحمد السويلم</x:v>
      </x:c>
      <x:c r="H9" s="25" t="str">
        <x:f>IFERROR(VLOOKUP(C9,'خريطة التشغيل'!$A$6:$F$9,5,FALSE),"غير محدد")</x:f>
        <x:v>قاعة Demo Day</x:v>
      </x:c>
      <x:c r="I9" s="25" t="str">
        <x:f>'جميع الضيوف'!I9</x:f>
        <x:v>مؤكد</x:v>
      </x:c>
      <x:c r="J9" s="25" t="str">
        <x:f>IFERROR(VLOOKUP(E9,'الفريق الكامل'!$B$6:$J$47,9,FALSE),"غير محدد")</x:f>
        <x:v>05XX-XXX-1005</x:v>
      </x:c>
      <x:c r="K9" s="25" t="str">
        <x:f>IFERROR(VLOOKUP(D9,'الفريق الكامل'!$B$6:$J$47,9,FALSE),"غير محدد")</x:f>
        <x:v>05XX-XXX-1003</x:v>
      </x:c>
      <x:c r="L9" s="25" t="str">
        <x:f>IFERROR(VLOOKUP(G9,'الفريق الكامل'!$B$6:$J$47,9,FALSE),"غير محدد")</x:f>
        <x:v>05XX-XXX-1034</x:v>
      </x:c>
      <x:c r="M9" s="25" t="str">
        <x:f>'جميع الضيوف'!G9</x:f>
        <x:v>05XX-XXX-0004</x:v>
      </x:c>
      <x:c r="N9" s="79"/>
      <x:c r="O9" s="79"/>
      <x:c r="P9" s="79" t="str">
        <x:v>لم يبلغ بعد</x:v>
      </x:c>
      <x:c r="Q9" s="80" t="str">
        <x:f>IF(AND(COUNTIF('الفريق الكامل'!$B$6:$B$47,E9)=1,COUNTIF('الفريق الكامل'!$B$6:$B$47,D9)=1,IFERROR(VLOOKUP(E9,'الفريق الكامل'!$B$6:$E$47,4,FALSE),"")=C9,IFERROR(VLOOKUP(D9,'الفريق الكامل'!$B$6:$E$47,4,FALSE),"")=C9),"مطابق","تحقق من التكليف")</x:f>
        <x:v>مطابق</x:v>
      </x:c>
      <x:c r="R9" s="25" t="str">
        <x:v>تعيين تجريبي؛ البوابة الفعلية يختارها الضيف</x:v>
      </x:c>
    </x:row>
    <x:row r="10" ht="29" customHeight="1">
      <x:c r="A10" s="25" t="str">
        <x:v>GST-005</x:v>
      </x:c>
      <x:c r="B10" s="25" t="str">
        <x:f>'جميع الضيوف'!C10</x:f>
        <x:v>خالد العتيق</x:v>
      </x:c>
      <x:c r="C10" s="25" t="str">
        <x:f>'جميع الضيوف'!F10</x:f>
        <x:v>المستثمرون – يوم العروض</x:v>
      </x:c>
      <x:c r="D10" s="25" t="str">
        <x:f>'جميع الضيوف'!J10</x:f>
        <x:v>نادر الحربي</x:v>
      </x:c>
      <x:c r="E10" s="25" t="str">
        <x:f>'جميع الضيوف'!K10</x:f>
        <x:v>سامي الوهيبي</x:v>
      </x:c>
      <x:c r="F10" s="25" t="str">
        <x:f>IFERROR(VLOOKUP(C10,'خريطة التشغيل'!$A$6:$F$9,2,FALSE),"غير محدد")</x:f>
        <x:v>البوابة A</x:v>
      </x:c>
      <x:c r="G10" s="25" t="str">
        <x:f>IFERROR(VLOOKUP(C10,'خريطة التشغيل'!$A$6:$F$9,4,FALSE),"غير محدد")</x:f>
        <x:v>أحمد السويلم</x:v>
      </x:c>
      <x:c r="H10" s="25" t="str">
        <x:f>IFERROR(VLOOKUP(C10,'خريطة التشغيل'!$A$6:$F$9,5,FALSE),"غير محدد")</x:f>
        <x:v>قاعة Demo Day</x:v>
      </x:c>
      <x:c r="I10" s="25" t="str">
        <x:f>'جميع الضيوف'!I10</x:f>
        <x:v>قيد التنسيق</x:v>
      </x:c>
      <x:c r="J10" s="25" t="str">
        <x:f>IFERROR(VLOOKUP(E10,'الفريق الكامل'!$B$6:$J$47,9,FALSE),"غير محدد")</x:f>
        <x:v>05XX-XXX-1006</x:v>
      </x:c>
      <x:c r="K10" s="25" t="str">
        <x:f>IFERROR(VLOOKUP(D10,'الفريق الكامل'!$B$6:$J$47,9,FALSE),"غير محدد")</x:f>
        <x:v>05XX-XXX-1003</x:v>
      </x:c>
      <x:c r="L10" s="25" t="str">
        <x:f>IFERROR(VLOOKUP(G10,'الفريق الكامل'!$B$6:$J$47,9,FALSE),"غير محدد")</x:f>
        <x:v>05XX-XXX-1034</x:v>
      </x:c>
      <x:c r="M10" s="25" t="str">
        <x:f>'جميع الضيوف'!G10</x:f>
        <x:v>05XX-XXX-0005</x:v>
      </x:c>
      <x:c r="N10" s="79"/>
      <x:c r="O10" s="79"/>
      <x:c r="P10" s="79" t="str">
        <x:v>لم يبلغ بعد</x:v>
      </x:c>
      <x:c r="Q10" s="80" t="str">
        <x:f>IF(AND(COUNTIF('الفريق الكامل'!$B$6:$B$47,E10)=1,COUNTIF('الفريق الكامل'!$B$6:$B$47,D10)=1,IFERROR(VLOOKUP(E10,'الفريق الكامل'!$B$6:$E$47,4,FALSE),"")=C10,IFERROR(VLOOKUP(D10,'الفريق الكامل'!$B$6:$E$47,4,FALSE),"")=C10),"مطابق","تحقق من التكليف")</x:f>
        <x:v>مطابق</x:v>
      </x:c>
      <x:c r="R10" s="25" t="str">
        <x:v>تعيين تجريبي؛ البوابة الفعلية يختارها الضيف</x:v>
      </x:c>
    </x:row>
    <x:row r="11" ht="29" customHeight="1">
      <x:c r="A11" s="25" t="str">
        <x:v>GST-006</x:v>
      </x:c>
      <x:c r="B11" s="25" t="str">
        <x:f>'جميع الضيوف'!C11</x:f>
        <x:v>ليان الدوسري</x:v>
      </x:c>
      <x:c r="C11" s="25" t="str">
        <x:f>'جميع الضيوف'!F11</x:f>
        <x:v>المستثمرون – يوم العروض</x:v>
      </x:c>
      <x:c r="D11" s="25" t="str">
        <x:f>'جميع الضيوف'!J11</x:f>
        <x:v>نادر الحربي</x:v>
      </x:c>
      <x:c r="E11" s="25" t="str">
        <x:f>'جميع الضيوف'!K11</x:f>
        <x:v>ريم السهلي</x:v>
      </x:c>
      <x:c r="F11" s="25" t="str">
        <x:f>IFERROR(VLOOKUP(C11,'خريطة التشغيل'!$A$6:$F$9,2,FALSE),"غير محدد")</x:f>
        <x:v>البوابة A</x:v>
      </x:c>
      <x:c r="G11" s="25" t="str">
        <x:f>IFERROR(VLOOKUP(C11,'خريطة التشغيل'!$A$6:$F$9,4,FALSE),"غير محدد")</x:f>
        <x:v>أحمد السويلم</x:v>
      </x:c>
      <x:c r="H11" s="25" t="str">
        <x:f>IFERROR(VLOOKUP(C11,'خريطة التشغيل'!$A$6:$F$9,5,FALSE),"غير محدد")</x:f>
        <x:v>قاعة Demo Day</x:v>
      </x:c>
      <x:c r="I11" s="25" t="str">
        <x:f>'جميع الضيوف'!I11</x:f>
        <x:v>مؤكد</x:v>
      </x:c>
      <x:c r="J11" s="25" t="str">
        <x:f>IFERROR(VLOOKUP(E11,'الفريق الكامل'!$B$6:$J$47,9,FALSE),"غير محدد")</x:f>
        <x:v>05XX-XXX-1007</x:v>
      </x:c>
      <x:c r="K11" s="25" t="str">
        <x:f>IFERROR(VLOOKUP(D11,'الفريق الكامل'!$B$6:$J$47,9,FALSE),"غير محدد")</x:f>
        <x:v>05XX-XXX-1003</x:v>
      </x:c>
      <x:c r="L11" s="25" t="str">
        <x:f>IFERROR(VLOOKUP(G11,'الفريق الكامل'!$B$6:$J$47,9,FALSE),"غير محدد")</x:f>
        <x:v>05XX-XXX-1034</x:v>
      </x:c>
      <x:c r="M11" s="25" t="str">
        <x:f>'جميع الضيوف'!G11</x:f>
        <x:v>05XX-XXX-0006</x:v>
      </x:c>
      <x:c r="N11" s="79"/>
      <x:c r="O11" s="79"/>
      <x:c r="P11" s="79" t="str">
        <x:v>لم يبلغ بعد</x:v>
      </x:c>
      <x:c r="Q11" s="80" t="str">
        <x:f>IF(AND(COUNTIF('الفريق الكامل'!$B$6:$B$47,E11)=1,COUNTIF('الفريق الكامل'!$B$6:$B$47,D11)=1,IFERROR(VLOOKUP(E11,'الفريق الكامل'!$B$6:$E$47,4,FALSE),"")=C11,IFERROR(VLOOKUP(D11,'الفريق الكامل'!$B$6:$E$47,4,FALSE),"")=C11),"مطابق","تحقق من التكليف")</x:f>
        <x:v>مطابق</x:v>
      </x:c>
      <x:c r="R11" s="25" t="str">
        <x:v>تعيين تجريبي؛ البوابة الفعلية يختارها الضيف</x:v>
      </x:c>
    </x:row>
    <x:row r="12" ht="29" customHeight="1">
      <x:c r="A12" s="25" t="str">
        <x:v>GST-007</x:v>
      </x:c>
      <x:c r="B12" s="25" t="str">
        <x:f>'جميع الضيوف'!C12</x:f>
        <x:v>نواف العبدالله</x:v>
      </x:c>
      <x:c r="C12" s="25" t="str">
        <x:f>'جميع الضيوف'!F12</x:f>
        <x:v>المستثمرون – يوم العروض</x:v>
      </x:c>
      <x:c r="D12" s="25" t="str">
        <x:f>'جميع الضيوف'!J12</x:f>
        <x:v>نادر الحربي</x:v>
      </x:c>
      <x:c r="E12" s="25" t="str">
        <x:f>'جميع الضيوف'!K12</x:f>
        <x:v>هناء الماجد</x:v>
      </x:c>
      <x:c r="F12" s="25" t="str">
        <x:f>IFERROR(VLOOKUP(C12,'خريطة التشغيل'!$A$6:$F$9,2,FALSE),"غير محدد")</x:f>
        <x:v>البوابة A</x:v>
      </x:c>
      <x:c r="G12" s="25" t="str">
        <x:f>IFERROR(VLOOKUP(C12,'خريطة التشغيل'!$A$6:$F$9,4,FALSE),"غير محدد")</x:f>
        <x:v>أحمد السويلم</x:v>
      </x:c>
      <x:c r="H12" s="25" t="str">
        <x:f>IFERROR(VLOOKUP(C12,'خريطة التشغيل'!$A$6:$F$9,5,FALSE),"غير محدد")</x:f>
        <x:v>قاعة Demo Day</x:v>
      </x:c>
      <x:c r="I12" s="25" t="str">
        <x:f>'جميع الضيوف'!I12</x:f>
        <x:v>مؤكد</x:v>
      </x:c>
      <x:c r="J12" s="25" t="str">
        <x:f>IFERROR(VLOOKUP(E12,'الفريق الكامل'!$B$6:$J$47,9,FALSE),"غير محدد")</x:f>
        <x:v>05XX-XXX-1005</x:v>
      </x:c>
      <x:c r="K12" s="25" t="str">
        <x:f>IFERROR(VLOOKUP(D12,'الفريق الكامل'!$B$6:$J$47,9,FALSE),"غير محدد")</x:f>
        <x:v>05XX-XXX-1003</x:v>
      </x:c>
      <x:c r="L12" s="25" t="str">
        <x:f>IFERROR(VLOOKUP(G12,'الفريق الكامل'!$B$6:$J$47,9,FALSE),"غير محدد")</x:f>
        <x:v>05XX-XXX-1034</x:v>
      </x:c>
      <x:c r="M12" s="25" t="str">
        <x:f>'جميع الضيوف'!G12</x:f>
        <x:v>05XX-XXX-0007</x:v>
      </x:c>
      <x:c r="N12" s="79"/>
      <x:c r="O12" s="79"/>
      <x:c r="P12" s="79" t="str">
        <x:v>لم يبلغ بعد</x:v>
      </x:c>
      <x:c r="Q12" s="80" t="str">
        <x:f>IF(AND(COUNTIF('الفريق الكامل'!$B$6:$B$47,E12)=1,COUNTIF('الفريق الكامل'!$B$6:$B$47,D12)=1,IFERROR(VLOOKUP(E12,'الفريق الكامل'!$B$6:$E$47,4,FALSE),"")=C12,IFERROR(VLOOKUP(D12,'الفريق الكامل'!$B$6:$E$47,4,FALSE),"")=C12),"مطابق","تحقق من التكليف")</x:f>
        <x:v>مطابق</x:v>
      </x:c>
      <x:c r="R12" s="25" t="str">
        <x:v>تعيين تجريبي؛ البوابة الفعلية يختارها الضيف</x:v>
      </x:c>
    </x:row>
    <x:row r="13" ht="29" customHeight="1">
      <x:c r="A13" s="25" t="str">
        <x:v>GST-008</x:v>
      </x:c>
      <x:c r="B13" s="25" t="str">
        <x:f>'جميع الضيوف'!C13</x:f>
        <x:v>هالة الرشيد</x:v>
      </x:c>
      <x:c r="C13" s="25" t="str">
        <x:f>'جميع الضيوف'!F13</x:f>
        <x:v>المستثمرون – يوم العروض</x:v>
      </x:c>
      <x:c r="D13" s="25" t="str">
        <x:f>'جميع الضيوف'!J13</x:f>
        <x:v>نادر الحربي</x:v>
      </x:c>
      <x:c r="E13" s="25" t="str">
        <x:f>'جميع الضيوف'!K13</x:f>
        <x:v>سامي الوهيبي</x:v>
      </x:c>
      <x:c r="F13" s="25" t="str">
        <x:f>IFERROR(VLOOKUP(C13,'خريطة التشغيل'!$A$6:$F$9,2,FALSE),"غير محدد")</x:f>
        <x:v>البوابة A</x:v>
      </x:c>
      <x:c r="G13" s="25" t="str">
        <x:f>IFERROR(VLOOKUP(C13,'خريطة التشغيل'!$A$6:$F$9,4,FALSE),"غير محدد")</x:f>
        <x:v>أحمد السويلم</x:v>
      </x:c>
      <x:c r="H13" s="25" t="str">
        <x:f>IFERROR(VLOOKUP(C13,'خريطة التشغيل'!$A$6:$F$9,5,FALSE),"غير محدد")</x:f>
        <x:v>قاعة Demo Day</x:v>
      </x:c>
      <x:c r="I13" s="25" t="str">
        <x:f>'جميع الضيوف'!I13</x:f>
        <x:v>بانتظار التأكيد</x:v>
      </x:c>
      <x:c r="J13" s="25" t="str">
        <x:f>IFERROR(VLOOKUP(E13,'الفريق الكامل'!$B$6:$J$47,9,FALSE),"غير محدد")</x:f>
        <x:v>05XX-XXX-1006</x:v>
      </x:c>
      <x:c r="K13" s="25" t="str">
        <x:f>IFERROR(VLOOKUP(D13,'الفريق الكامل'!$B$6:$J$47,9,FALSE),"غير محدد")</x:f>
        <x:v>05XX-XXX-1003</x:v>
      </x:c>
      <x:c r="L13" s="25" t="str">
        <x:f>IFERROR(VLOOKUP(G13,'الفريق الكامل'!$B$6:$J$47,9,FALSE),"غير محدد")</x:f>
        <x:v>05XX-XXX-1034</x:v>
      </x:c>
      <x:c r="M13" s="25" t="str">
        <x:f>'جميع الضيوف'!G13</x:f>
        <x:v>05XX-XXX-0008</x:v>
      </x:c>
      <x:c r="N13" s="79"/>
      <x:c r="O13" s="79"/>
      <x:c r="P13" s="79" t="str">
        <x:v>لم يبلغ بعد</x:v>
      </x:c>
      <x:c r="Q13" s="80" t="str">
        <x:f>IF(AND(COUNTIF('الفريق الكامل'!$B$6:$B$47,E13)=1,COUNTIF('الفريق الكامل'!$B$6:$B$47,D13)=1,IFERROR(VLOOKUP(E13,'الفريق الكامل'!$B$6:$E$47,4,FALSE),"")=C13,IFERROR(VLOOKUP(D13,'الفريق الكامل'!$B$6:$E$47,4,FALSE),"")=C13),"مطابق","تحقق من التكليف")</x:f>
        <x:v>مطابق</x:v>
      </x:c>
      <x:c r="R13" s="25" t="str">
        <x:v>تعيين تجريبي؛ البوابة الفعلية يختارها الضيف</x:v>
      </x:c>
    </x:row>
    <x:row r="14" ht="29" customHeight="1">
      <x:c r="A14" s="25" t="str">
        <x:v>GST-009</x:v>
      </x:c>
      <x:c r="B14" s="25" t="str">
        <x:f>'جميع الضيوف'!C14</x:f>
        <x:v>راشد الغانم</x:v>
      </x:c>
      <x:c r="C14" s="25" t="str">
        <x:f>'جميع الضيوف'!F14</x:f>
        <x:v>المستثمرون – يوم العروض</x:v>
      </x:c>
      <x:c r="D14" s="25" t="str">
        <x:f>'جميع الضيوف'!J14</x:f>
        <x:v>نادر الحربي</x:v>
      </x:c>
      <x:c r="E14" s="25" t="str">
        <x:f>'جميع الضيوف'!K14</x:f>
        <x:v>ريم السهلي</x:v>
      </x:c>
      <x:c r="F14" s="25" t="str">
        <x:f>IFERROR(VLOOKUP(C14,'خريطة التشغيل'!$A$6:$F$9,2,FALSE),"غير محدد")</x:f>
        <x:v>البوابة A</x:v>
      </x:c>
      <x:c r="G14" s="25" t="str">
        <x:f>IFERROR(VLOOKUP(C14,'خريطة التشغيل'!$A$6:$F$9,4,FALSE),"غير محدد")</x:f>
        <x:v>أحمد السويلم</x:v>
      </x:c>
      <x:c r="H14" s="25" t="str">
        <x:f>IFERROR(VLOOKUP(C14,'خريطة التشغيل'!$A$6:$F$9,5,FALSE),"غير محدد")</x:f>
        <x:v>قاعة Demo Day</x:v>
      </x:c>
      <x:c r="I14" s="25" t="str">
        <x:f>'جميع الضيوف'!I14</x:f>
        <x:v>مؤكد</x:v>
      </x:c>
      <x:c r="J14" s="25" t="str">
        <x:f>IFERROR(VLOOKUP(E14,'الفريق الكامل'!$B$6:$J$47,9,FALSE),"غير محدد")</x:f>
        <x:v>05XX-XXX-1007</x:v>
      </x:c>
      <x:c r="K14" s="25" t="str">
        <x:f>IFERROR(VLOOKUP(D14,'الفريق الكامل'!$B$6:$J$47,9,FALSE),"غير محدد")</x:f>
        <x:v>05XX-XXX-1003</x:v>
      </x:c>
      <x:c r="L14" s="25" t="str">
        <x:f>IFERROR(VLOOKUP(G14,'الفريق الكامل'!$B$6:$J$47,9,FALSE),"غير محدد")</x:f>
        <x:v>05XX-XXX-1034</x:v>
      </x:c>
      <x:c r="M14" s="25" t="str">
        <x:f>'جميع الضيوف'!G14</x:f>
        <x:v>05XX-XXX-0009</x:v>
      </x:c>
      <x:c r="N14" s="79"/>
      <x:c r="O14" s="79"/>
      <x:c r="P14" s="79" t="str">
        <x:v>لم يبلغ بعد</x:v>
      </x:c>
      <x:c r="Q14" s="80" t="str">
        <x:f>IF(AND(COUNTIF('الفريق الكامل'!$B$6:$B$47,E14)=1,COUNTIF('الفريق الكامل'!$B$6:$B$47,D14)=1,IFERROR(VLOOKUP(E14,'الفريق الكامل'!$B$6:$E$47,4,FALSE),"")=C14,IFERROR(VLOOKUP(D14,'الفريق الكامل'!$B$6:$E$47,4,FALSE),"")=C14),"مطابق","تحقق من التكليف")</x:f>
        <x:v>مطابق</x:v>
      </x:c>
      <x:c r="R14" s="25" t="str">
        <x:v>تعيين تجريبي؛ البوابة الفعلية يختارها الضيف</x:v>
      </x:c>
    </x:row>
    <x:row r="15" ht="29" customHeight="1">
      <x:c r="A15" s="25" t="str">
        <x:v>GST-010</x:v>
      </x:c>
      <x:c r="B15" s="25" t="str">
        <x:f>'جميع الضيوف'!C15</x:f>
        <x:v>دانة اليامي</x:v>
      </x:c>
      <x:c r="C15" s="25" t="str">
        <x:f>'جميع الضيوف'!F15</x:f>
        <x:v>المستثمرون – يوم العروض</x:v>
      </x:c>
      <x:c r="D15" s="25" t="str">
        <x:f>'جميع الضيوف'!J15</x:f>
        <x:v>نادر الحربي</x:v>
      </x:c>
      <x:c r="E15" s="25" t="str">
        <x:f>'جميع الضيوف'!K15</x:f>
        <x:v>هناء الماجد</x:v>
      </x:c>
      <x:c r="F15" s="25" t="str">
        <x:f>IFERROR(VLOOKUP(C15,'خريطة التشغيل'!$A$6:$F$9,2,FALSE),"غير محدد")</x:f>
        <x:v>البوابة A</x:v>
      </x:c>
      <x:c r="G15" s="25" t="str">
        <x:f>IFERROR(VLOOKUP(C15,'خريطة التشغيل'!$A$6:$F$9,4,FALSE),"غير محدد")</x:f>
        <x:v>أحمد السويلم</x:v>
      </x:c>
      <x:c r="H15" s="25" t="str">
        <x:f>IFERROR(VLOOKUP(C15,'خريطة التشغيل'!$A$6:$F$9,5,FALSE),"غير محدد")</x:f>
        <x:v>قاعة Demo Day</x:v>
      </x:c>
      <x:c r="I15" s="25" t="str">
        <x:f>'جميع الضيوف'!I15</x:f>
        <x:v>اعتذر</x:v>
      </x:c>
      <x:c r="J15" s="25" t="str">
        <x:f>IFERROR(VLOOKUP(E15,'الفريق الكامل'!$B$6:$J$47,9,FALSE),"غير محدد")</x:f>
        <x:v>05XX-XXX-1005</x:v>
      </x:c>
      <x:c r="K15" s="25" t="str">
        <x:f>IFERROR(VLOOKUP(D15,'الفريق الكامل'!$B$6:$J$47,9,FALSE),"غير محدد")</x:f>
        <x:v>05XX-XXX-1003</x:v>
      </x:c>
      <x:c r="L15" s="25" t="str">
        <x:f>IFERROR(VLOOKUP(G15,'الفريق الكامل'!$B$6:$J$47,9,FALSE),"غير محدد")</x:f>
        <x:v>05XX-XXX-1034</x:v>
      </x:c>
      <x:c r="M15" s="25" t="str">
        <x:f>'جميع الضيوف'!G15</x:f>
        <x:v>05XX-XXX-0010</x:v>
      </x:c>
      <x:c r="N15" s="79"/>
      <x:c r="O15" s="79"/>
      <x:c r="P15" s="79" t="str">
        <x:v>لم يبلغ بعد</x:v>
      </x:c>
      <x:c r="Q15" s="80" t="str">
        <x:f>IF(AND(COUNTIF('الفريق الكامل'!$B$6:$B$47,E15)=1,COUNTIF('الفريق الكامل'!$B$6:$B$47,D15)=1,IFERROR(VLOOKUP(E15,'الفريق الكامل'!$B$6:$E$47,4,FALSE),"")=C15,IFERROR(VLOOKUP(D15,'الفريق الكامل'!$B$6:$E$47,4,FALSE),"")=C15),"مطابق","تحقق من التكليف")</x:f>
        <x:v>مطابق</x:v>
      </x:c>
      <x:c r="R15" s="25" t="str">
        <x:v>تعيين تجريبي؛ البوابة الفعلية يختارها الضيف</x:v>
      </x:c>
    </x:row>
    <x:row r="16" ht="29" customHeight="1">
      <x:c r="A16" s="25" t="str">
        <x:v>GST-011</x:v>
      </x:c>
      <x:c r="B16" s="25" t="str">
        <x:f>'جميع الضيوف'!C16</x:f>
        <x:v>إميليا كارتر</x:v>
      </x:c>
      <x:c r="C16" s="25" t="str">
        <x:f>'جميع الضيوف'!F16</x:f>
        <x:v>المحكمون الدوليون</x:v>
      </x:c>
      <x:c r="D16" s="25" t="str">
        <x:f>'جميع الضيوف'!J16</x:f>
        <x:v>سارة الماجد</x:v>
      </x:c>
      <x:c r="E16" s="25" t="str">
        <x:f>'جميع الضيوف'!K16</x:f>
        <x:v>عمر العيسى</x:v>
      </x:c>
      <x:c r="F16" s="25" t="str">
        <x:f>IFERROR(VLOOKUP(C16,'خريطة التشغيل'!$A$6:$F$9,2,FALSE),"غير محدد")</x:f>
        <x:v>البوابة B</x:v>
      </x:c>
      <x:c r="G16" s="25" t="str">
        <x:f>IFERROR(VLOOKUP(C16,'خريطة التشغيل'!$A$6:$F$9,4,FALSE),"غير محدد")</x:f>
        <x:v>دلال المري</x:v>
      </x:c>
      <x:c r="H16" s="25" t="str">
        <x:f>IFERROR(VLOOKUP(C16,'خريطة التشغيل'!$A$6:$F$9,5,FALSE),"غير محدد")</x:f>
        <x:v>قاعة التحكيم الدولي</x:v>
      </x:c>
      <x:c r="I16" s="25" t="str">
        <x:f>'جميع الضيوف'!I16</x:f>
        <x:v>مؤكد</x:v>
      </x:c>
      <x:c r="J16" s="25" t="str">
        <x:f>IFERROR(VLOOKUP(E16,'الفريق الكامل'!$B$6:$J$47,9,FALSE),"غير محدد")</x:f>
        <x:v>05XX-XXX-1012</x:v>
      </x:c>
      <x:c r="K16" s="25" t="str">
        <x:f>IFERROR(VLOOKUP(D16,'الفريق الكامل'!$B$6:$J$47,9,FALSE),"غير محدد")</x:f>
        <x:v>05XX-XXX-1010</x:v>
      </x:c>
      <x:c r="L16" s="25" t="str">
        <x:f>IFERROR(VLOOKUP(G16,'الفريق الكامل'!$B$6:$J$47,9,FALSE),"غير محدد")</x:f>
        <x:v>05XX-XXX-1035</x:v>
      </x:c>
      <x:c r="M16" s="25" t="str">
        <x:f>'جميع الضيوف'!G16</x:f>
        <x:v>05XX-XXX-0011</x:v>
      </x:c>
      <x:c r="N16" s="79"/>
      <x:c r="O16" s="79"/>
      <x:c r="P16" s="79" t="str">
        <x:v>لم يبلغ بعد</x:v>
      </x:c>
      <x:c r="Q16" s="80" t="str">
        <x:f>IF(AND(COUNTIF('الفريق الكامل'!$B$6:$B$47,E16)=1,COUNTIF('الفريق الكامل'!$B$6:$B$47,D16)=1,IFERROR(VLOOKUP(E16,'الفريق الكامل'!$B$6:$E$47,4,FALSE),"")=C16,IFERROR(VLOOKUP(D16,'الفريق الكامل'!$B$6:$E$47,4,FALSE),"")=C16),"مطابق","تحقق من التكليف")</x:f>
        <x:v>مطابق</x:v>
      </x:c>
      <x:c r="R16" s="25" t="str">
        <x:v>تعيين تجريبي؛ البوابة الفعلية يختارها الضيف</x:v>
      </x:c>
    </x:row>
    <x:row r="17" ht="29" customHeight="1">
      <x:c r="A17" s="25" t="str">
        <x:v>GST-012</x:v>
      </x:c>
      <x:c r="B17" s="25" t="str">
        <x:f>'جميع الضيوف'!C17</x:f>
        <x:v>دانيال ريفرز</x:v>
      </x:c>
      <x:c r="C17" s="25" t="str">
        <x:f>'جميع الضيوف'!F17</x:f>
        <x:v>المحكمون الدوليون</x:v>
      </x:c>
      <x:c r="D17" s="25" t="str">
        <x:f>'جميع الضيوف'!J17</x:f>
        <x:v>سارة الماجد</x:v>
      </x:c>
      <x:c r="E17" s="25" t="str">
        <x:f>'جميع الضيوف'!K17</x:f>
        <x:v>لُجين المرزوق</x:v>
      </x:c>
      <x:c r="F17" s="25" t="str">
        <x:f>IFERROR(VLOOKUP(C17,'خريطة التشغيل'!$A$6:$F$9,2,FALSE),"غير محدد")</x:f>
        <x:v>البوابة B</x:v>
      </x:c>
      <x:c r="G17" s="25" t="str">
        <x:f>IFERROR(VLOOKUP(C17,'خريطة التشغيل'!$A$6:$F$9,4,FALSE),"غير محدد")</x:f>
        <x:v>دلال المري</x:v>
      </x:c>
      <x:c r="H17" s="25" t="str">
        <x:f>IFERROR(VLOOKUP(C17,'خريطة التشغيل'!$A$6:$F$9,5,FALSE),"غير محدد")</x:f>
        <x:v>قاعة التحكيم الدولي</x:v>
      </x:c>
      <x:c r="I17" s="25" t="str">
        <x:f>'جميع الضيوف'!I17</x:f>
        <x:v>مؤكد</x:v>
      </x:c>
      <x:c r="J17" s="25" t="str">
        <x:f>IFERROR(VLOOKUP(E17,'الفريق الكامل'!$B$6:$J$47,9,FALSE),"غير محدد")</x:f>
        <x:v>05XX-XXX-1013</x:v>
      </x:c>
      <x:c r="K17" s="25" t="str">
        <x:f>IFERROR(VLOOKUP(D17,'الفريق الكامل'!$B$6:$J$47,9,FALSE),"غير محدد")</x:f>
        <x:v>05XX-XXX-1010</x:v>
      </x:c>
      <x:c r="L17" s="25" t="str">
        <x:f>IFERROR(VLOOKUP(G17,'الفريق الكامل'!$B$6:$J$47,9,FALSE),"غير محدد")</x:f>
        <x:v>05XX-XXX-1035</x:v>
      </x:c>
      <x:c r="M17" s="25" t="str">
        <x:f>'جميع الضيوف'!G17</x:f>
        <x:v>05XX-XXX-0012</x:v>
      </x:c>
      <x:c r="N17" s="79"/>
      <x:c r="O17" s="79"/>
      <x:c r="P17" s="79" t="str">
        <x:v>لم يبلغ بعد</x:v>
      </x:c>
      <x:c r="Q17" s="80" t="str">
        <x:f>IF(AND(COUNTIF('الفريق الكامل'!$B$6:$B$47,E17)=1,COUNTIF('الفريق الكامل'!$B$6:$B$47,D17)=1,IFERROR(VLOOKUP(E17,'الفريق الكامل'!$B$6:$E$47,4,FALSE),"")=C17,IFERROR(VLOOKUP(D17,'الفريق الكامل'!$B$6:$E$47,4,FALSE),"")=C17),"مطابق","تحقق من التكليف")</x:f>
        <x:v>مطابق</x:v>
      </x:c>
      <x:c r="R17" s="25" t="str">
        <x:v>تعيين تجريبي؛ البوابة الفعلية يختارها الضيف</x:v>
      </x:c>
    </x:row>
    <x:row r="18" ht="29" customHeight="1">
      <x:c r="A18" s="25" t="str">
        <x:v>GST-013</x:v>
      </x:c>
      <x:c r="B18" s="25" t="str">
        <x:f>'جميع الضيوف'!C18</x:f>
        <x:v>صوفيا مارتن</x:v>
      </x:c>
      <x:c r="C18" s="25" t="str">
        <x:f>'جميع الضيوف'!F18</x:f>
        <x:v>المحكمون الدوليون</x:v>
      </x:c>
      <x:c r="D18" s="25" t="str">
        <x:f>'جميع الضيوف'!J18</x:f>
        <x:v>سارة الماجد</x:v>
      </x:c>
      <x:c r="E18" s="25" t="str">
        <x:f>'جميع الضيوف'!K18</x:f>
        <x:v>عبدالإله الشمري</x:v>
      </x:c>
      <x:c r="F18" s="25" t="str">
        <x:f>IFERROR(VLOOKUP(C18,'خريطة التشغيل'!$A$6:$F$9,2,FALSE),"غير محدد")</x:f>
        <x:v>البوابة B</x:v>
      </x:c>
      <x:c r="G18" s="25" t="str">
        <x:f>IFERROR(VLOOKUP(C18,'خريطة التشغيل'!$A$6:$F$9,4,FALSE),"غير محدد")</x:f>
        <x:v>دلال المري</x:v>
      </x:c>
      <x:c r="H18" s="25" t="str">
        <x:f>IFERROR(VLOOKUP(C18,'خريطة التشغيل'!$A$6:$F$9,5,FALSE),"غير محدد")</x:f>
        <x:v>قاعة التحكيم الدولي</x:v>
      </x:c>
      <x:c r="I18" s="25" t="str">
        <x:f>'جميع الضيوف'!I18</x:f>
        <x:v>بانتظار التأكيد</x:v>
      </x:c>
      <x:c r="J18" s="25" t="str">
        <x:f>IFERROR(VLOOKUP(E18,'الفريق الكامل'!$B$6:$J$47,9,FALSE),"غير محدد")</x:f>
        <x:v>05XX-XXX-1014</x:v>
      </x:c>
      <x:c r="K18" s="25" t="str">
        <x:f>IFERROR(VLOOKUP(D18,'الفريق الكامل'!$B$6:$J$47,9,FALSE),"غير محدد")</x:f>
        <x:v>05XX-XXX-1010</x:v>
      </x:c>
      <x:c r="L18" s="25" t="str">
        <x:f>IFERROR(VLOOKUP(G18,'الفريق الكامل'!$B$6:$J$47,9,FALSE),"غير محدد")</x:f>
        <x:v>05XX-XXX-1035</x:v>
      </x:c>
      <x:c r="M18" s="25" t="str">
        <x:f>'جميع الضيوف'!G18</x:f>
        <x:v>05XX-XXX-0013</x:v>
      </x:c>
      <x:c r="N18" s="79"/>
      <x:c r="O18" s="79"/>
      <x:c r="P18" s="79" t="str">
        <x:v>لم يبلغ بعد</x:v>
      </x:c>
      <x:c r="Q18" s="80" t="str">
        <x:f>IF(AND(COUNTIF('الفريق الكامل'!$B$6:$B$47,E18)=1,COUNTIF('الفريق الكامل'!$B$6:$B$47,D18)=1,IFERROR(VLOOKUP(E18,'الفريق الكامل'!$B$6:$E$47,4,FALSE),"")=C18,IFERROR(VLOOKUP(D18,'الفريق الكامل'!$B$6:$E$47,4,FALSE),"")=C18),"مطابق","تحقق من التكليف")</x:f>
        <x:v>مطابق</x:v>
      </x:c>
      <x:c r="R18" s="25" t="str">
        <x:v>تعيين تجريبي؛ البوابة الفعلية يختارها الضيف</x:v>
      </x:c>
    </x:row>
    <x:row r="19" ht="29" customHeight="1">
      <x:c r="A19" s="25" t="str">
        <x:v>GST-014</x:v>
      </x:c>
      <x:c r="B19" s="25" t="str">
        <x:f>'جميع الضيوف'!C19</x:f>
        <x:v>ماتيو روسي</x:v>
      </x:c>
      <x:c r="C19" s="25" t="str">
        <x:f>'جميع الضيوف'!F19</x:f>
        <x:v>المحكمون الدوليون</x:v>
      </x:c>
      <x:c r="D19" s="25" t="str">
        <x:f>'جميع الضيوف'!J19</x:f>
        <x:v>سارة الماجد</x:v>
      </x:c>
      <x:c r="E19" s="25" t="str">
        <x:f>'جميع الضيوف'!K19</x:f>
        <x:v>عمر العيسى</x:v>
      </x:c>
      <x:c r="F19" s="25" t="str">
        <x:f>IFERROR(VLOOKUP(C19,'خريطة التشغيل'!$A$6:$F$9,2,FALSE),"غير محدد")</x:f>
        <x:v>البوابة B</x:v>
      </x:c>
      <x:c r="G19" s="25" t="str">
        <x:f>IFERROR(VLOOKUP(C19,'خريطة التشغيل'!$A$6:$F$9,4,FALSE),"غير محدد")</x:f>
        <x:v>دلال المري</x:v>
      </x:c>
      <x:c r="H19" s="25" t="str">
        <x:f>IFERROR(VLOOKUP(C19,'خريطة التشغيل'!$A$6:$F$9,5,FALSE),"غير محدد")</x:f>
        <x:v>قاعة التحكيم الدولي</x:v>
      </x:c>
      <x:c r="I19" s="25" t="str">
        <x:f>'جميع الضيوف'!I19</x:f>
        <x:v>مؤكد</x:v>
      </x:c>
      <x:c r="J19" s="25" t="str">
        <x:f>IFERROR(VLOOKUP(E19,'الفريق الكامل'!$B$6:$J$47,9,FALSE),"غير محدد")</x:f>
        <x:v>05XX-XXX-1012</x:v>
      </x:c>
      <x:c r="K19" s="25" t="str">
        <x:f>IFERROR(VLOOKUP(D19,'الفريق الكامل'!$B$6:$J$47,9,FALSE),"غير محدد")</x:f>
        <x:v>05XX-XXX-1010</x:v>
      </x:c>
      <x:c r="L19" s="25" t="str">
        <x:f>IFERROR(VLOOKUP(G19,'الفريق الكامل'!$B$6:$J$47,9,FALSE),"غير محدد")</x:f>
        <x:v>05XX-XXX-1035</x:v>
      </x:c>
      <x:c r="M19" s="25" t="str">
        <x:f>'جميع الضيوف'!G19</x:f>
        <x:v>05XX-XXX-0014</x:v>
      </x:c>
      <x:c r="N19" s="79"/>
      <x:c r="O19" s="79"/>
      <x:c r="P19" s="79" t="str">
        <x:v>لم يبلغ بعد</x:v>
      </x:c>
      <x:c r="Q19" s="80" t="str">
        <x:f>IF(AND(COUNTIF('الفريق الكامل'!$B$6:$B$47,E19)=1,COUNTIF('الفريق الكامل'!$B$6:$B$47,D19)=1,IFERROR(VLOOKUP(E19,'الفريق الكامل'!$B$6:$E$47,4,FALSE),"")=C19,IFERROR(VLOOKUP(D19,'الفريق الكامل'!$B$6:$E$47,4,FALSE),"")=C19),"مطابق","تحقق من التكليف")</x:f>
        <x:v>مطابق</x:v>
      </x:c>
      <x:c r="R19" s="25" t="str">
        <x:v>تعيين تجريبي؛ البوابة الفعلية يختارها الضيف</x:v>
      </x:c>
    </x:row>
    <x:row r="20" ht="29" customHeight="1">
      <x:c r="A20" s="25" t="str">
        <x:v>GST-015</x:v>
      </x:c>
      <x:c r="B20" s="25" t="str">
        <x:f>'جميع الضيوف'!C20</x:f>
        <x:v>ناومي تايلور</x:v>
      </x:c>
      <x:c r="C20" s="25" t="str">
        <x:f>'جميع الضيوف'!F20</x:f>
        <x:v>المحكمون الدوليون</x:v>
      </x:c>
      <x:c r="D20" s="25" t="str">
        <x:f>'جميع الضيوف'!J20</x:f>
        <x:v>سارة الماجد</x:v>
      </x:c>
      <x:c r="E20" s="25" t="str">
        <x:f>'جميع الضيوف'!K20</x:f>
        <x:v>لُجين المرزوق</x:v>
      </x:c>
      <x:c r="F20" s="25" t="str">
        <x:f>IFERROR(VLOOKUP(C20,'خريطة التشغيل'!$A$6:$F$9,2,FALSE),"غير محدد")</x:f>
        <x:v>البوابة B</x:v>
      </x:c>
      <x:c r="G20" s="25" t="str">
        <x:f>IFERROR(VLOOKUP(C20,'خريطة التشغيل'!$A$6:$F$9,4,FALSE),"غير محدد")</x:f>
        <x:v>دلال المري</x:v>
      </x:c>
      <x:c r="H20" s="25" t="str">
        <x:f>IFERROR(VLOOKUP(C20,'خريطة التشغيل'!$A$6:$F$9,5,FALSE),"غير محدد")</x:f>
        <x:v>قاعة التحكيم الدولي</x:v>
      </x:c>
      <x:c r="I20" s="25" t="str">
        <x:f>'جميع الضيوف'!I20</x:f>
        <x:v>قيد التنسيق</x:v>
      </x:c>
      <x:c r="J20" s="25" t="str">
        <x:f>IFERROR(VLOOKUP(E20,'الفريق الكامل'!$B$6:$J$47,9,FALSE),"غير محدد")</x:f>
        <x:v>05XX-XXX-1013</x:v>
      </x:c>
      <x:c r="K20" s="25" t="str">
        <x:f>IFERROR(VLOOKUP(D20,'الفريق الكامل'!$B$6:$J$47,9,FALSE),"غير محدد")</x:f>
        <x:v>05XX-XXX-1010</x:v>
      </x:c>
      <x:c r="L20" s="25" t="str">
        <x:f>IFERROR(VLOOKUP(G20,'الفريق الكامل'!$B$6:$J$47,9,FALSE),"غير محدد")</x:f>
        <x:v>05XX-XXX-1035</x:v>
      </x:c>
      <x:c r="M20" s="25" t="str">
        <x:f>'جميع الضيوف'!G20</x:f>
        <x:v>05XX-XXX-0015</x:v>
      </x:c>
      <x:c r="N20" s="79"/>
      <x:c r="O20" s="79"/>
      <x:c r="P20" s="79" t="str">
        <x:v>لم يبلغ بعد</x:v>
      </x:c>
      <x:c r="Q20" s="80" t="str">
        <x:f>IF(AND(COUNTIF('الفريق الكامل'!$B$6:$B$47,E20)=1,COUNTIF('الفريق الكامل'!$B$6:$B$47,D20)=1,IFERROR(VLOOKUP(E20,'الفريق الكامل'!$B$6:$E$47,4,FALSE),"")=C20,IFERROR(VLOOKUP(D20,'الفريق الكامل'!$B$6:$E$47,4,FALSE),"")=C20),"مطابق","تحقق من التكليف")</x:f>
        <x:v>مطابق</x:v>
      </x:c>
      <x:c r="R20" s="25" t="str">
        <x:v>تعيين تجريبي؛ البوابة الفعلية يختارها الضيف</x:v>
      </x:c>
    </x:row>
    <x:row r="21" ht="29" customHeight="1">
      <x:c r="A21" s="25" t="str">
        <x:v>GST-016</x:v>
      </x:c>
      <x:c r="B21" s="25" t="str">
        <x:f>'جميع الضيوف'!C21</x:f>
        <x:v>آدم لوران</x:v>
      </x:c>
      <x:c r="C21" s="25" t="str">
        <x:f>'جميع الضيوف'!F21</x:f>
        <x:v>المحكمون الدوليون</x:v>
      </x:c>
      <x:c r="D21" s="25" t="str">
        <x:f>'جميع الضيوف'!J21</x:f>
        <x:v>سارة الماجد</x:v>
      </x:c>
      <x:c r="E21" s="25" t="str">
        <x:f>'جميع الضيوف'!K21</x:f>
        <x:v>عبدالإله الشمري</x:v>
      </x:c>
      <x:c r="F21" s="25" t="str">
        <x:f>IFERROR(VLOOKUP(C21,'خريطة التشغيل'!$A$6:$F$9,2,FALSE),"غير محدد")</x:f>
        <x:v>البوابة B</x:v>
      </x:c>
      <x:c r="G21" s="25" t="str">
        <x:f>IFERROR(VLOOKUP(C21,'خريطة التشغيل'!$A$6:$F$9,4,FALSE),"غير محدد")</x:f>
        <x:v>دلال المري</x:v>
      </x:c>
      <x:c r="H21" s="25" t="str">
        <x:f>IFERROR(VLOOKUP(C21,'خريطة التشغيل'!$A$6:$F$9,5,FALSE),"غير محدد")</x:f>
        <x:v>قاعة التحكيم الدولي</x:v>
      </x:c>
      <x:c r="I21" s="25" t="str">
        <x:f>'جميع الضيوف'!I21</x:f>
        <x:v>مؤكد</x:v>
      </x:c>
      <x:c r="J21" s="25" t="str">
        <x:f>IFERROR(VLOOKUP(E21,'الفريق الكامل'!$B$6:$J$47,9,FALSE),"غير محدد")</x:f>
        <x:v>05XX-XXX-1014</x:v>
      </x:c>
      <x:c r="K21" s="25" t="str">
        <x:f>IFERROR(VLOOKUP(D21,'الفريق الكامل'!$B$6:$J$47,9,FALSE),"غير محدد")</x:f>
        <x:v>05XX-XXX-1010</x:v>
      </x:c>
      <x:c r="L21" s="25" t="str">
        <x:f>IFERROR(VLOOKUP(G21,'الفريق الكامل'!$B$6:$J$47,9,FALSE),"غير محدد")</x:f>
        <x:v>05XX-XXX-1035</x:v>
      </x:c>
      <x:c r="M21" s="25" t="str">
        <x:f>'جميع الضيوف'!G21</x:f>
        <x:v>05XX-XXX-0016</x:v>
      </x:c>
      <x:c r="N21" s="79"/>
      <x:c r="O21" s="79"/>
      <x:c r="P21" s="79" t="str">
        <x:v>لم يبلغ بعد</x:v>
      </x:c>
      <x:c r="Q21" s="80" t="str">
        <x:f>IF(AND(COUNTIF('الفريق الكامل'!$B$6:$B$47,E21)=1,COUNTIF('الفريق الكامل'!$B$6:$B$47,D21)=1,IFERROR(VLOOKUP(E21,'الفريق الكامل'!$B$6:$E$47,4,FALSE),"")=C21,IFERROR(VLOOKUP(D21,'الفريق الكامل'!$B$6:$E$47,4,FALSE),"")=C21),"مطابق","تحقق من التكليف")</x:f>
        <x:v>مطابق</x:v>
      </x:c>
      <x:c r="R21" s="25" t="str">
        <x:v>تعيين تجريبي؛ البوابة الفعلية يختارها الضيف</x:v>
      </x:c>
    </x:row>
    <x:row r="22" ht="29" customHeight="1">
      <x:c r="A22" s="25" t="str">
        <x:v>GST-017</x:v>
      </x:c>
      <x:c r="B22" s="25" t="str">
        <x:f>'جميع الضيوف'!C22</x:f>
        <x:v>كلارا فيشر</x:v>
      </x:c>
      <x:c r="C22" s="25" t="str">
        <x:f>'جميع الضيوف'!F22</x:f>
        <x:v>المحكمون الدوليون</x:v>
      </x:c>
      <x:c r="D22" s="25" t="str">
        <x:f>'جميع الضيوف'!J22</x:f>
        <x:v>سارة الماجد</x:v>
      </x:c>
      <x:c r="E22" s="25" t="str">
        <x:f>'جميع الضيوف'!K22</x:f>
        <x:v>عمر العيسى</x:v>
      </x:c>
      <x:c r="F22" s="25" t="str">
        <x:f>IFERROR(VLOOKUP(C22,'خريطة التشغيل'!$A$6:$F$9,2,FALSE),"غير محدد")</x:f>
        <x:v>البوابة B</x:v>
      </x:c>
      <x:c r="G22" s="25" t="str">
        <x:f>IFERROR(VLOOKUP(C22,'خريطة التشغيل'!$A$6:$F$9,4,FALSE),"غير محدد")</x:f>
        <x:v>دلال المري</x:v>
      </x:c>
      <x:c r="H22" s="25" t="str">
        <x:f>IFERROR(VLOOKUP(C22,'خريطة التشغيل'!$A$6:$F$9,5,FALSE),"غير محدد")</x:f>
        <x:v>قاعة التحكيم الدولي</x:v>
      </x:c>
      <x:c r="I22" s="25" t="str">
        <x:f>'جميع الضيوف'!I22</x:f>
        <x:v>مؤكد</x:v>
      </x:c>
      <x:c r="J22" s="25" t="str">
        <x:f>IFERROR(VLOOKUP(E22,'الفريق الكامل'!$B$6:$J$47,9,FALSE),"غير محدد")</x:f>
        <x:v>05XX-XXX-1012</x:v>
      </x:c>
      <x:c r="K22" s="25" t="str">
        <x:f>IFERROR(VLOOKUP(D22,'الفريق الكامل'!$B$6:$J$47,9,FALSE),"غير محدد")</x:f>
        <x:v>05XX-XXX-1010</x:v>
      </x:c>
      <x:c r="L22" s="25" t="str">
        <x:f>IFERROR(VLOOKUP(G22,'الفريق الكامل'!$B$6:$J$47,9,FALSE),"غير محدد")</x:f>
        <x:v>05XX-XXX-1035</x:v>
      </x:c>
      <x:c r="M22" s="25" t="str">
        <x:f>'جميع الضيوف'!G22</x:f>
        <x:v>05XX-XXX-0017</x:v>
      </x:c>
      <x:c r="N22" s="79"/>
      <x:c r="O22" s="79"/>
      <x:c r="P22" s="79" t="str">
        <x:v>لم يبلغ بعد</x:v>
      </x:c>
      <x:c r="Q22" s="80" t="str">
        <x:f>IF(AND(COUNTIF('الفريق الكامل'!$B$6:$B$47,E22)=1,COUNTIF('الفريق الكامل'!$B$6:$B$47,D22)=1,IFERROR(VLOOKUP(E22,'الفريق الكامل'!$B$6:$E$47,4,FALSE),"")=C22,IFERROR(VLOOKUP(D22,'الفريق الكامل'!$B$6:$E$47,4,FALSE),"")=C22),"مطابق","تحقق من التكليف")</x:f>
        <x:v>مطابق</x:v>
      </x:c>
      <x:c r="R22" s="25" t="str">
        <x:v>تعيين تجريبي؛ البوابة الفعلية يختارها الضيف</x:v>
      </x:c>
    </x:row>
    <x:row r="23" ht="29" customHeight="1">
      <x:c r="A23" s="25" t="str">
        <x:v>GST-018</x:v>
      </x:c>
      <x:c r="B23" s="25" t="str">
        <x:f>'جميع الضيوف'!C23</x:f>
        <x:v>يوسف حداد</x:v>
      </x:c>
      <x:c r="C23" s="25" t="str">
        <x:f>'جميع الضيوف'!F23</x:f>
        <x:v>المحكمون الدوليون</x:v>
      </x:c>
      <x:c r="D23" s="25" t="str">
        <x:f>'جميع الضيوف'!J23</x:f>
        <x:v>سارة الماجد</x:v>
      </x:c>
      <x:c r="E23" s="25" t="str">
        <x:f>'جميع الضيوف'!K23</x:f>
        <x:v>لُجين المرزوق</x:v>
      </x:c>
      <x:c r="F23" s="25" t="str">
        <x:f>IFERROR(VLOOKUP(C23,'خريطة التشغيل'!$A$6:$F$9,2,FALSE),"غير محدد")</x:f>
        <x:v>البوابة B</x:v>
      </x:c>
      <x:c r="G23" s="25" t="str">
        <x:f>IFERROR(VLOOKUP(C23,'خريطة التشغيل'!$A$6:$F$9,4,FALSE),"غير محدد")</x:f>
        <x:v>دلال المري</x:v>
      </x:c>
      <x:c r="H23" s="25" t="str">
        <x:f>IFERROR(VLOOKUP(C23,'خريطة التشغيل'!$A$6:$F$9,5,FALSE),"غير محدد")</x:f>
        <x:v>قاعة التحكيم الدولي</x:v>
      </x:c>
      <x:c r="I23" s="25" t="str">
        <x:f>'جميع الضيوف'!I23</x:f>
        <x:v>بانتظار التأكيد</x:v>
      </x:c>
      <x:c r="J23" s="25" t="str">
        <x:f>IFERROR(VLOOKUP(E23,'الفريق الكامل'!$B$6:$J$47,9,FALSE),"غير محدد")</x:f>
        <x:v>05XX-XXX-1013</x:v>
      </x:c>
      <x:c r="K23" s="25" t="str">
        <x:f>IFERROR(VLOOKUP(D23,'الفريق الكامل'!$B$6:$J$47,9,FALSE),"غير محدد")</x:f>
        <x:v>05XX-XXX-1010</x:v>
      </x:c>
      <x:c r="L23" s="25" t="str">
        <x:f>IFERROR(VLOOKUP(G23,'الفريق الكامل'!$B$6:$J$47,9,FALSE),"غير محدد")</x:f>
        <x:v>05XX-XXX-1035</x:v>
      </x:c>
      <x:c r="M23" s="25" t="str">
        <x:f>'جميع الضيوف'!G23</x:f>
        <x:v>05XX-XXX-0018</x:v>
      </x:c>
      <x:c r="N23" s="79"/>
      <x:c r="O23" s="79"/>
      <x:c r="P23" s="79" t="str">
        <x:v>لم يبلغ بعد</x:v>
      </x:c>
      <x:c r="Q23" s="80" t="str">
        <x:f>IF(AND(COUNTIF('الفريق الكامل'!$B$6:$B$47,E23)=1,COUNTIF('الفريق الكامل'!$B$6:$B$47,D23)=1,IFERROR(VLOOKUP(E23,'الفريق الكامل'!$B$6:$E$47,4,FALSE),"")=C23,IFERROR(VLOOKUP(D23,'الفريق الكامل'!$B$6:$E$47,4,FALSE),"")=C23),"مطابق","تحقق من التكليف")</x:f>
        <x:v>مطابق</x:v>
      </x:c>
      <x:c r="R23" s="25" t="str">
        <x:v>تعيين تجريبي؛ البوابة الفعلية يختارها الضيف</x:v>
      </x:c>
    </x:row>
    <x:row r="24" ht="29" customHeight="1">
      <x:c r="A24" s="25" t="str">
        <x:v>GST-019</x:v>
      </x:c>
      <x:c r="B24" s="25" t="str">
        <x:f>'جميع الضيوف'!C24</x:f>
        <x:v>لينا هانسن</x:v>
      </x:c>
      <x:c r="C24" s="25" t="str">
        <x:f>'جميع الضيوف'!F24</x:f>
        <x:v>المحكمون الدوليون</x:v>
      </x:c>
      <x:c r="D24" s="25" t="str">
        <x:f>'جميع الضيوف'!J24</x:f>
        <x:v>سارة الماجد</x:v>
      </x:c>
      <x:c r="E24" s="25" t="str">
        <x:f>'جميع الضيوف'!K24</x:f>
        <x:v>عبدالإله الشمري</x:v>
      </x:c>
      <x:c r="F24" s="25" t="str">
        <x:f>IFERROR(VLOOKUP(C24,'خريطة التشغيل'!$A$6:$F$9,2,FALSE),"غير محدد")</x:f>
        <x:v>البوابة B</x:v>
      </x:c>
      <x:c r="G24" s="25" t="str">
        <x:f>IFERROR(VLOOKUP(C24,'خريطة التشغيل'!$A$6:$F$9,4,FALSE),"غير محدد")</x:f>
        <x:v>دلال المري</x:v>
      </x:c>
      <x:c r="H24" s="25" t="str">
        <x:f>IFERROR(VLOOKUP(C24,'خريطة التشغيل'!$A$6:$F$9,5,FALSE),"غير محدد")</x:f>
        <x:v>قاعة التحكيم الدولي</x:v>
      </x:c>
      <x:c r="I24" s="25" t="str">
        <x:f>'جميع الضيوف'!I24</x:f>
        <x:v>مؤكد</x:v>
      </x:c>
      <x:c r="J24" s="25" t="str">
        <x:f>IFERROR(VLOOKUP(E24,'الفريق الكامل'!$B$6:$J$47,9,FALSE),"غير محدد")</x:f>
        <x:v>05XX-XXX-1014</x:v>
      </x:c>
      <x:c r="K24" s="25" t="str">
        <x:f>IFERROR(VLOOKUP(D24,'الفريق الكامل'!$B$6:$J$47,9,FALSE),"غير محدد")</x:f>
        <x:v>05XX-XXX-1010</x:v>
      </x:c>
      <x:c r="L24" s="25" t="str">
        <x:f>IFERROR(VLOOKUP(G24,'الفريق الكامل'!$B$6:$J$47,9,FALSE),"غير محدد")</x:f>
        <x:v>05XX-XXX-1035</x:v>
      </x:c>
      <x:c r="M24" s="25" t="str">
        <x:f>'جميع الضيوف'!G24</x:f>
        <x:v>05XX-XXX-0019</x:v>
      </x:c>
      <x:c r="N24" s="79"/>
      <x:c r="O24" s="79"/>
      <x:c r="P24" s="79" t="str">
        <x:v>لم يبلغ بعد</x:v>
      </x:c>
      <x:c r="Q24" s="80" t="str">
        <x:f>IF(AND(COUNTIF('الفريق الكامل'!$B$6:$B$47,E24)=1,COUNTIF('الفريق الكامل'!$B$6:$B$47,D24)=1,IFERROR(VLOOKUP(E24,'الفريق الكامل'!$B$6:$E$47,4,FALSE),"")=C24,IFERROR(VLOOKUP(D24,'الفريق الكامل'!$B$6:$E$47,4,FALSE),"")=C24),"مطابق","تحقق من التكليف")</x:f>
        <x:v>مطابق</x:v>
      </x:c>
      <x:c r="R24" s="25" t="str">
        <x:v>تعيين تجريبي؛ البوابة الفعلية يختارها الضيف</x:v>
      </x:c>
    </x:row>
    <x:row r="25" ht="29" customHeight="1">
      <x:c r="A25" s="25" t="str">
        <x:v>GST-020</x:v>
      </x:c>
      <x:c r="B25" s="25" t="str">
        <x:f>'جميع الضيوف'!C25</x:f>
        <x:v>إلياس مورينو</x:v>
      </x:c>
      <x:c r="C25" s="25" t="str">
        <x:f>'جميع الضيوف'!F25</x:f>
        <x:v>المحكمون الدوليون</x:v>
      </x:c>
      <x:c r="D25" s="25" t="str">
        <x:f>'جميع الضيوف'!J25</x:f>
        <x:v>سارة الماجد</x:v>
      </x:c>
      <x:c r="E25" s="25" t="str">
        <x:f>'جميع الضيوف'!K25</x:f>
        <x:v>عمر العيسى</x:v>
      </x:c>
      <x:c r="F25" s="25" t="str">
        <x:f>IFERROR(VLOOKUP(C25,'خريطة التشغيل'!$A$6:$F$9,2,FALSE),"غير محدد")</x:f>
        <x:v>البوابة B</x:v>
      </x:c>
      <x:c r="G25" s="25" t="str">
        <x:f>IFERROR(VLOOKUP(C25,'خريطة التشغيل'!$A$6:$F$9,4,FALSE),"غير محدد")</x:f>
        <x:v>دلال المري</x:v>
      </x:c>
      <x:c r="H25" s="25" t="str">
        <x:f>IFERROR(VLOOKUP(C25,'خريطة التشغيل'!$A$6:$F$9,5,FALSE),"غير محدد")</x:f>
        <x:v>قاعة التحكيم الدولي</x:v>
      </x:c>
      <x:c r="I25" s="25" t="str">
        <x:f>'جميع الضيوف'!I25</x:f>
        <x:v>اعتذر</x:v>
      </x:c>
      <x:c r="J25" s="25" t="str">
        <x:f>IFERROR(VLOOKUP(E25,'الفريق الكامل'!$B$6:$J$47,9,FALSE),"غير محدد")</x:f>
        <x:v>05XX-XXX-1012</x:v>
      </x:c>
      <x:c r="K25" s="25" t="str">
        <x:f>IFERROR(VLOOKUP(D25,'الفريق الكامل'!$B$6:$J$47,9,FALSE),"غير محدد")</x:f>
        <x:v>05XX-XXX-1010</x:v>
      </x:c>
      <x:c r="L25" s="25" t="str">
        <x:f>IFERROR(VLOOKUP(G25,'الفريق الكامل'!$B$6:$J$47,9,FALSE),"غير محدد")</x:f>
        <x:v>05XX-XXX-1035</x:v>
      </x:c>
      <x:c r="M25" s="25" t="str">
        <x:f>'جميع الضيوف'!G25</x:f>
        <x:v>05XX-XXX-0020</x:v>
      </x:c>
      <x:c r="N25" s="79"/>
      <x:c r="O25" s="79"/>
      <x:c r="P25" s="79" t="str">
        <x:v>لم يبلغ بعد</x:v>
      </x:c>
      <x:c r="Q25" s="80" t="str">
        <x:f>IF(AND(COUNTIF('الفريق الكامل'!$B$6:$B$47,E25)=1,COUNTIF('الفريق الكامل'!$B$6:$B$47,D25)=1,IFERROR(VLOOKUP(E25,'الفريق الكامل'!$B$6:$E$47,4,FALSE),"")=C25,IFERROR(VLOOKUP(D25,'الفريق الكامل'!$B$6:$E$47,4,FALSE),"")=C25),"مطابق","تحقق من التكليف")</x:f>
        <x:v>مطابق</x:v>
      </x:c>
      <x:c r="R25" s="25" t="str">
        <x:v>تعيين تجريبي؛ البوابة الفعلية يختارها الضيف</x:v>
      </x:c>
    </x:row>
    <x:row r="26" ht="29" customHeight="1">
      <x:c r="A26" s="25" t="str">
        <x:v>GST-021</x:v>
      </x:c>
      <x:c r="B26" s="25" t="str">
        <x:f>'جميع الضيوف'!C26</x:f>
        <x:v>عبير القحطاني</x:v>
      </x:c>
      <x:c r="C26" s="25" t="str">
        <x:f>'جميع الضيوف'!F26</x:f>
        <x:v>المرشدون</x:v>
      </x:c>
      <x:c r="D26" s="25" t="str">
        <x:f>'جميع الضيوف'!J26</x:f>
        <x:v>فيصل اليامي</x:v>
      </x:c>
      <x:c r="E26" s="25" t="str">
        <x:f>'جميع الضيوف'!K26</x:f>
        <x:v>خولة الشهري</x:v>
      </x:c>
      <x:c r="F26" s="25" t="str">
        <x:f>IFERROR(VLOOKUP(C26,'خريطة التشغيل'!$A$6:$F$9,2,FALSE),"غير محدد")</x:f>
        <x:v>البوابة C</x:v>
      </x:c>
      <x:c r="G26" s="25" t="str">
        <x:f>IFERROR(VLOOKUP(C26,'خريطة التشغيل'!$A$6:$F$9,4,FALSE),"غير محدد")</x:f>
        <x:v>عبدالعزيز البحيري</x:v>
      </x:c>
      <x:c r="H26" s="25" t="str">
        <x:f>IFERROR(VLOOKUP(C26,'خريطة التشغيل'!$A$6:$F$9,5,FALSE),"غير محدد")</x:f>
        <x:v>منطقة الإرشاد</x:v>
      </x:c>
      <x:c r="I26" s="25" t="str">
        <x:f>'جميع الضيوف'!I26</x:f>
        <x:v>مؤكد</x:v>
      </x:c>
      <x:c r="J26" s="25" t="str">
        <x:f>IFERROR(VLOOKUP(E26,'الفريق الكامل'!$B$6:$J$47,9,FALSE),"غير محدد")</x:f>
        <x:v>05XX-XXX-1016</x:v>
      </x:c>
      <x:c r="K26" s="25" t="str">
        <x:f>IFERROR(VLOOKUP(D26,'الفريق الكامل'!$B$6:$J$47,9,FALSE),"غير محدد")</x:f>
        <x:v>05XX-XXX-1015</x:v>
      </x:c>
      <x:c r="L26" s="25" t="str">
        <x:f>IFERROR(VLOOKUP(G26,'الفريق الكامل'!$B$6:$J$47,9,FALSE),"غير محدد")</x:f>
        <x:v>05XX-XXX-1036</x:v>
      </x:c>
      <x:c r="M26" s="25" t="str">
        <x:f>'جميع الضيوف'!G26</x:f>
        <x:v>05XX-XXX-0021</x:v>
      </x:c>
      <x:c r="N26" s="79"/>
      <x:c r="O26" s="79"/>
      <x:c r="P26" s="79" t="str">
        <x:v>لم يبلغ بعد</x:v>
      </x:c>
      <x:c r="Q26" s="80" t="str">
        <x:f>IF(AND(COUNTIF('الفريق الكامل'!$B$6:$B$47,E26)=1,COUNTIF('الفريق الكامل'!$B$6:$B$47,D26)=1,IFERROR(VLOOKUP(E26,'الفريق الكامل'!$B$6:$E$47,4,FALSE),"")=C26,IFERROR(VLOOKUP(D26,'الفريق الكامل'!$B$6:$E$47,4,FALSE),"")=C26),"مطابق","تحقق من التكليف")</x:f>
        <x:v>مطابق</x:v>
      </x:c>
      <x:c r="R26" s="25" t="str">
        <x:v>تعيين تجريبي؛ البوابة الفعلية يختارها الضيف</x:v>
      </x:c>
    </x:row>
    <x:row r="27" ht="29" customHeight="1">
      <x:c r="A27" s="25" t="str">
        <x:v>GST-022</x:v>
      </x:c>
      <x:c r="B27" s="25" t="str">
        <x:f>'جميع الضيوف'!C27</x:f>
        <x:v>تركي السهلي</x:v>
      </x:c>
      <x:c r="C27" s="25" t="str">
        <x:f>'جميع الضيوف'!F27</x:f>
        <x:v>المرشدون</x:v>
      </x:c>
      <x:c r="D27" s="25" t="str">
        <x:f>'جميع الضيوف'!J27</x:f>
        <x:v>فيصل اليامي</x:v>
      </x:c>
      <x:c r="E27" s="25" t="str">
        <x:f>'جميع الضيوف'!K27</x:f>
        <x:v>محمد الربيع</x:v>
      </x:c>
      <x:c r="F27" s="25" t="str">
        <x:f>IFERROR(VLOOKUP(C27,'خريطة التشغيل'!$A$6:$F$9,2,FALSE),"غير محدد")</x:f>
        <x:v>البوابة C</x:v>
      </x:c>
      <x:c r="G27" s="25" t="str">
        <x:f>IFERROR(VLOOKUP(C27,'خريطة التشغيل'!$A$6:$F$9,4,FALSE),"غير محدد")</x:f>
        <x:v>عبدالعزيز البحيري</x:v>
      </x:c>
      <x:c r="H27" s="25" t="str">
        <x:f>IFERROR(VLOOKUP(C27,'خريطة التشغيل'!$A$6:$F$9,5,FALSE),"غير محدد")</x:f>
        <x:v>منطقة الإرشاد</x:v>
      </x:c>
      <x:c r="I27" s="25" t="str">
        <x:f>'جميع الضيوف'!I27</x:f>
        <x:v>مؤكد</x:v>
      </x:c>
      <x:c r="J27" s="25" t="str">
        <x:f>IFERROR(VLOOKUP(E27,'الفريق الكامل'!$B$6:$J$47,9,FALSE),"غير محدد")</x:f>
        <x:v>05XX-XXX-1017</x:v>
      </x:c>
      <x:c r="K27" s="25" t="str">
        <x:f>IFERROR(VLOOKUP(D27,'الفريق الكامل'!$B$6:$J$47,9,FALSE),"غير محدد")</x:f>
        <x:v>05XX-XXX-1015</x:v>
      </x:c>
      <x:c r="L27" s="25" t="str">
        <x:f>IFERROR(VLOOKUP(G27,'الفريق الكامل'!$B$6:$J$47,9,FALSE),"غير محدد")</x:f>
        <x:v>05XX-XXX-1036</x:v>
      </x:c>
      <x:c r="M27" s="25" t="str">
        <x:f>'جميع الضيوف'!G27</x:f>
        <x:v>05XX-XXX-0022</x:v>
      </x:c>
      <x:c r="N27" s="79"/>
      <x:c r="O27" s="79"/>
      <x:c r="P27" s="79" t="str">
        <x:v>لم يبلغ بعد</x:v>
      </x:c>
      <x:c r="Q27" s="80" t="str">
        <x:f>IF(AND(COUNTIF('الفريق الكامل'!$B$6:$B$47,E27)=1,COUNTIF('الفريق الكامل'!$B$6:$B$47,D27)=1,IFERROR(VLOOKUP(E27,'الفريق الكامل'!$B$6:$E$47,4,FALSE),"")=C27,IFERROR(VLOOKUP(D27,'الفريق الكامل'!$B$6:$E$47,4,FALSE),"")=C27),"مطابق","تحقق من التكليف")</x:f>
        <x:v>مطابق</x:v>
      </x:c>
      <x:c r="R27" s="25" t="str">
        <x:v>تعيين تجريبي؛ البوابة الفعلية يختارها الضيف</x:v>
      </x:c>
    </x:row>
    <x:row r="28" ht="29" customHeight="1">
      <x:c r="A28" s="25" t="str">
        <x:v>GST-023</x:v>
      </x:c>
      <x:c r="B28" s="25" t="str">
        <x:f>'جميع الضيوف'!C28</x:f>
        <x:v>مي البدر</x:v>
      </x:c>
      <x:c r="C28" s="25" t="str">
        <x:f>'جميع الضيوف'!F28</x:f>
        <x:v>المرشدون</x:v>
      </x:c>
      <x:c r="D28" s="25" t="str">
        <x:f>'جميع الضيوف'!J28</x:f>
        <x:v>فيصل اليامي</x:v>
      </x:c>
      <x:c r="E28" s="25" t="str">
        <x:f>'جميع الضيوف'!K28</x:f>
        <x:v>غادة المطيري</x:v>
      </x:c>
      <x:c r="F28" s="25" t="str">
        <x:f>IFERROR(VLOOKUP(C28,'خريطة التشغيل'!$A$6:$F$9,2,FALSE),"غير محدد")</x:f>
        <x:v>البوابة C</x:v>
      </x:c>
      <x:c r="G28" s="25" t="str">
        <x:f>IFERROR(VLOOKUP(C28,'خريطة التشغيل'!$A$6:$F$9,4,FALSE),"غير محدد")</x:f>
        <x:v>عبدالعزيز البحيري</x:v>
      </x:c>
      <x:c r="H28" s="25" t="str">
        <x:f>IFERROR(VLOOKUP(C28,'خريطة التشغيل'!$A$6:$F$9,5,FALSE),"غير محدد")</x:f>
        <x:v>منطقة الإرشاد</x:v>
      </x:c>
      <x:c r="I28" s="25" t="str">
        <x:f>'جميع الضيوف'!I28</x:f>
        <x:v>بانتظار التأكيد</x:v>
      </x:c>
      <x:c r="J28" s="25" t="str">
        <x:f>IFERROR(VLOOKUP(E28,'الفريق الكامل'!$B$6:$J$47,9,FALSE),"غير محدد")</x:f>
        <x:v>05XX-XXX-1018</x:v>
      </x:c>
      <x:c r="K28" s="25" t="str">
        <x:f>IFERROR(VLOOKUP(D28,'الفريق الكامل'!$B$6:$J$47,9,FALSE),"غير محدد")</x:f>
        <x:v>05XX-XXX-1015</x:v>
      </x:c>
      <x:c r="L28" s="25" t="str">
        <x:f>IFERROR(VLOOKUP(G28,'الفريق الكامل'!$B$6:$J$47,9,FALSE),"غير محدد")</x:f>
        <x:v>05XX-XXX-1036</x:v>
      </x:c>
      <x:c r="M28" s="25" t="str">
        <x:f>'جميع الضيوف'!G28</x:f>
        <x:v>05XX-XXX-0023</x:v>
      </x:c>
      <x:c r="N28" s="79"/>
      <x:c r="O28" s="79"/>
      <x:c r="P28" s="79" t="str">
        <x:v>لم يبلغ بعد</x:v>
      </x:c>
      <x:c r="Q28" s="80" t="str">
        <x:f>IF(AND(COUNTIF('الفريق الكامل'!$B$6:$B$47,E28)=1,COUNTIF('الفريق الكامل'!$B$6:$B$47,D28)=1,IFERROR(VLOOKUP(E28,'الفريق الكامل'!$B$6:$E$47,4,FALSE),"")=C28,IFERROR(VLOOKUP(D28,'الفريق الكامل'!$B$6:$E$47,4,FALSE),"")=C28),"مطابق","تحقق من التكليف")</x:f>
        <x:v>مطابق</x:v>
      </x:c>
      <x:c r="R28" s="25" t="str">
        <x:v>تعيين تجريبي؛ البوابة الفعلية يختارها الضيف</x:v>
      </x:c>
    </x:row>
    <x:row r="29" ht="29" customHeight="1">
      <x:c r="A29" s="25" t="str">
        <x:v>GST-024</x:v>
      </x:c>
      <x:c r="B29" s="25" t="str">
        <x:f>'جميع الضيوف'!C29</x:f>
        <x:v>بدر الصالح</x:v>
      </x:c>
      <x:c r="C29" s="25" t="str">
        <x:f>'جميع الضيوف'!F29</x:f>
        <x:v>المرشدون</x:v>
      </x:c>
      <x:c r="D29" s="25" t="str">
        <x:f>'جميع الضيوف'!J29</x:f>
        <x:v>فيصل اليامي</x:v>
      </x:c>
      <x:c r="E29" s="25" t="str">
        <x:f>'جميع الضيوف'!K29</x:f>
        <x:v>خولة الشهري</x:v>
      </x:c>
      <x:c r="F29" s="25" t="str">
        <x:f>IFERROR(VLOOKUP(C29,'خريطة التشغيل'!$A$6:$F$9,2,FALSE),"غير محدد")</x:f>
        <x:v>البوابة C</x:v>
      </x:c>
      <x:c r="G29" s="25" t="str">
        <x:f>IFERROR(VLOOKUP(C29,'خريطة التشغيل'!$A$6:$F$9,4,FALSE),"غير محدد")</x:f>
        <x:v>عبدالعزيز البحيري</x:v>
      </x:c>
      <x:c r="H29" s="25" t="str">
        <x:f>IFERROR(VLOOKUP(C29,'خريطة التشغيل'!$A$6:$F$9,5,FALSE),"غير محدد")</x:f>
        <x:v>منطقة الإرشاد</x:v>
      </x:c>
      <x:c r="I29" s="25" t="str">
        <x:f>'جميع الضيوف'!I29</x:f>
        <x:v>مؤكد</x:v>
      </x:c>
      <x:c r="J29" s="25" t="str">
        <x:f>IFERROR(VLOOKUP(E29,'الفريق الكامل'!$B$6:$J$47,9,FALSE),"غير محدد")</x:f>
        <x:v>05XX-XXX-1016</x:v>
      </x:c>
      <x:c r="K29" s="25" t="str">
        <x:f>IFERROR(VLOOKUP(D29,'الفريق الكامل'!$B$6:$J$47,9,FALSE),"غير محدد")</x:f>
        <x:v>05XX-XXX-1015</x:v>
      </x:c>
      <x:c r="L29" s="25" t="str">
        <x:f>IFERROR(VLOOKUP(G29,'الفريق الكامل'!$B$6:$J$47,9,FALSE),"غير محدد")</x:f>
        <x:v>05XX-XXX-1036</x:v>
      </x:c>
      <x:c r="M29" s="25" t="str">
        <x:f>'جميع الضيوف'!G29</x:f>
        <x:v>05XX-XXX-0024</x:v>
      </x:c>
      <x:c r="N29" s="79"/>
      <x:c r="O29" s="79"/>
      <x:c r="P29" s="79" t="str">
        <x:v>لم يبلغ بعد</x:v>
      </x:c>
      <x:c r="Q29" s="80" t="str">
        <x:f>IF(AND(COUNTIF('الفريق الكامل'!$B$6:$B$47,E29)=1,COUNTIF('الفريق الكامل'!$B$6:$B$47,D29)=1,IFERROR(VLOOKUP(E29,'الفريق الكامل'!$B$6:$E$47,4,FALSE),"")=C29,IFERROR(VLOOKUP(D29,'الفريق الكامل'!$B$6:$E$47,4,FALSE),"")=C29),"مطابق","تحقق من التكليف")</x:f>
        <x:v>مطابق</x:v>
      </x:c>
      <x:c r="R29" s="25" t="str">
        <x:v>تعيين تجريبي؛ البوابة الفعلية يختارها الضيف</x:v>
      </x:c>
    </x:row>
    <x:row r="30" ht="29" customHeight="1">
      <x:c r="A30" s="25" t="str">
        <x:v>GST-025</x:v>
      </x:c>
      <x:c r="B30" s="25" t="str">
        <x:f>'جميع الضيوف'!C30</x:f>
        <x:v>رزان القحطاني</x:v>
      </x:c>
      <x:c r="C30" s="25" t="str">
        <x:f>'جميع الضيوف'!F30</x:f>
        <x:v>المرشدون</x:v>
      </x:c>
      <x:c r="D30" s="25" t="str">
        <x:f>'جميع الضيوف'!J30</x:f>
        <x:v>فيصل اليامي</x:v>
      </x:c>
      <x:c r="E30" s="25" t="str">
        <x:f>'جميع الضيوف'!K30</x:f>
        <x:v>محمد الربيع</x:v>
      </x:c>
      <x:c r="F30" s="25" t="str">
        <x:f>IFERROR(VLOOKUP(C30,'خريطة التشغيل'!$A$6:$F$9,2,FALSE),"غير محدد")</x:f>
        <x:v>البوابة C</x:v>
      </x:c>
      <x:c r="G30" s="25" t="str">
        <x:f>IFERROR(VLOOKUP(C30,'خريطة التشغيل'!$A$6:$F$9,4,FALSE),"غير محدد")</x:f>
        <x:v>عبدالعزيز البحيري</x:v>
      </x:c>
      <x:c r="H30" s="25" t="str">
        <x:f>IFERROR(VLOOKUP(C30,'خريطة التشغيل'!$A$6:$F$9,5,FALSE),"غير محدد")</x:f>
        <x:v>منطقة الإرشاد</x:v>
      </x:c>
      <x:c r="I30" s="25" t="str">
        <x:f>'جميع الضيوف'!I30</x:f>
        <x:v>قيد التنسيق</x:v>
      </x:c>
      <x:c r="J30" s="25" t="str">
        <x:f>IFERROR(VLOOKUP(E30,'الفريق الكامل'!$B$6:$J$47,9,FALSE),"غير محدد")</x:f>
        <x:v>05XX-XXX-1017</x:v>
      </x:c>
      <x:c r="K30" s="25" t="str">
        <x:f>IFERROR(VLOOKUP(D30,'الفريق الكامل'!$B$6:$J$47,9,FALSE),"غير محدد")</x:f>
        <x:v>05XX-XXX-1015</x:v>
      </x:c>
      <x:c r="L30" s="25" t="str">
        <x:f>IFERROR(VLOOKUP(G30,'الفريق الكامل'!$B$6:$J$47,9,FALSE),"غير محدد")</x:f>
        <x:v>05XX-XXX-1036</x:v>
      </x:c>
      <x:c r="M30" s="25" t="str">
        <x:f>'جميع الضيوف'!G30</x:f>
        <x:v>05XX-XXX-0025</x:v>
      </x:c>
      <x:c r="N30" s="79"/>
      <x:c r="O30" s="79"/>
      <x:c r="P30" s="79" t="str">
        <x:v>لم يبلغ بعد</x:v>
      </x:c>
      <x:c r="Q30" s="80" t="str">
        <x:f>IF(AND(COUNTIF('الفريق الكامل'!$B$6:$B$47,E30)=1,COUNTIF('الفريق الكامل'!$B$6:$B$47,D30)=1,IFERROR(VLOOKUP(E30,'الفريق الكامل'!$B$6:$E$47,4,FALSE),"")=C30,IFERROR(VLOOKUP(D30,'الفريق الكامل'!$B$6:$E$47,4,FALSE),"")=C30),"مطابق","تحقق من التكليف")</x:f>
        <x:v>مطابق</x:v>
      </x:c>
      <x:c r="R30" s="25" t="str">
        <x:v>تعيين تجريبي؛ البوابة الفعلية يختارها الضيف</x:v>
      </x:c>
    </x:row>
    <x:row r="31" ht="29" customHeight="1">
      <x:c r="A31" s="25" t="str">
        <x:v>GST-026</x:v>
      </x:c>
      <x:c r="B31" s="25" t="str">
        <x:f>'جميع الضيوف'!C31</x:f>
        <x:v>معاذ الشهري</x:v>
      </x:c>
      <x:c r="C31" s="25" t="str">
        <x:f>'جميع الضيوف'!F31</x:f>
        <x:v>المرشدون</x:v>
      </x:c>
      <x:c r="D31" s="25" t="str">
        <x:f>'جميع الضيوف'!J31</x:f>
        <x:v>فيصل اليامي</x:v>
      </x:c>
      <x:c r="E31" s="25" t="str">
        <x:f>'جميع الضيوف'!K31</x:f>
        <x:v>غادة المطيري</x:v>
      </x:c>
      <x:c r="F31" s="25" t="str">
        <x:f>IFERROR(VLOOKUP(C31,'خريطة التشغيل'!$A$6:$F$9,2,FALSE),"غير محدد")</x:f>
        <x:v>البوابة C</x:v>
      </x:c>
      <x:c r="G31" s="25" t="str">
        <x:f>IFERROR(VLOOKUP(C31,'خريطة التشغيل'!$A$6:$F$9,4,FALSE),"غير محدد")</x:f>
        <x:v>عبدالعزيز البحيري</x:v>
      </x:c>
      <x:c r="H31" s="25" t="str">
        <x:f>IFERROR(VLOOKUP(C31,'خريطة التشغيل'!$A$6:$F$9,5,FALSE),"غير محدد")</x:f>
        <x:v>منطقة الإرشاد</x:v>
      </x:c>
      <x:c r="I31" s="25" t="str">
        <x:f>'جميع الضيوف'!I31</x:f>
        <x:v>مؤكد</x:v>
      </x:c>
      <x:c r="J31" s="25" t="str">
        <x:f>IFERROR(VLOOKUP(E31,'الفريق الكامل'!$B$6:$J$47,9,FALSE),"غير محدد")</x:f>
        <x:v>05XX-XXX-1018</x:v>
      </x:c>
      <x:c r="K31" s="25" t="str">
        <x:f>IFERROR(VLOOKUP(D31,'الفريق الكامل'!$B$6:$J$47,9,FALSE),"غير محدد")</x:f>
        <x:v>05XX-XXX-1015</x:v>
      </x:c>
      <x:c r="L31" s="25" t="str">
        <x:f>IFERROR(VLOOKUP(G31,'الفريق الكامل'!$B$6:$J$47,9,FALSE),"غير محدد")</x:f>
        <x:v>05XX-XXX-1036</x:v>
      </x:c>
      <x:c r="M31" s="25" t="str">
        <x:f>'جميع الضيوف'!G31</x:f>
        <x:v>05XX-XXX-0026</x:v>
      </x:c>
      <x:c r="N31" s="79"/>
      <x:c r="O31" s="79"/>
      <x:c r="P31" s="79" t="str">
        <x:v>لم يبلغ بعد</x:v>
      </x:c>
      <x:c r="Q31" s="80" t="str">
        <x:f>IF(AND(COUNTIF('الفريق الكامل'!$B$6:$B$47,E31)=1,COUNTIF('الفريق الكامل'!$B$6:$B$47,D31)=1,IFERROR(VLOOKUP(E31,'الفريق الكامل'!$B$6:$E$47,4,FALSE),"")=C31,IFERROR(VLOOKUP(D31,'الفريق الكامل'!$B$6:$E$47,4,FALSE),"")=C31),"مطابق","تحقق من التكليف")</x:f>
        <x:v>مطابق</x:v>
      </x:c>
      <x:c r="R31" s="25" t="str">
        <x:v>تعيين تجريبي؛ البوابة الفعلية يختارها الضيف</x:v>
      </x:c>
    </x:row>
    <x:row r="32" ht="29" customHeight="1">
      <x:c r="A32" s="25" t="str">
        <x:v>GST-027</x:v>
      </x:c>
      <x:c r="B32" s="25" t="str">
        <x:f>'جميع الضيوف'!C32</x:f>
        <x:v>شهد القاسم</x:v>
      </x:c>
      <x:c r="C32" s="25" t="str">
        <x:f>'جميع الضيوف'!F32</x:f>
        <x:v>المرشدون</x:v>
      </x:c>
      <x:c r="D32" s="25" t="str">
        <x:f>'جميع الضيوف'!J32</x:f>
        <x:v>فيصل اليامي</x:v>
      </x:c>
      <x:c r="E32" s="25" t="str">
        <x:f>'جميع الضيوف'!K32</x:f>
        <x:v>خولة الشهري</x:v>
      </x:c>
      <x:c r="F32" s="25" t="str">
        <x:f>IFERROR(VLOOKUP(C32,'خريطة التشغيل'!$A$6:$F$9,2,FALSE),"غير محدد")</x:f>
        <x:v>البوابة C</x:v>
      </x:c>
      <x:c r="G32" s="25" t="str">
        <x:f>IFERROR(VLOOKUP(C32,'خريطة التشغيل'!$A$6:$F$9,4,FALSE),"غير محدد")</x:f>
        <x:v>عبدالعزيز البحيري</x:v>
      </x:c>
      <x:c r="H32" s="25" t="str">
        <x:f>IFERROR(VLOOKUP(C32,'خريطة التشغيل'!$A$6:$F$9,5,FALSE),"غير محدد")</x:f>
        <x:v>منطقة الإرشاد</x:v>
      </x:c>
      <x:c r="I32" s="25" t="str">
        <x:f>'جميع الضيوف'!I32</x:f>
        <x:v>مؤكد</x:v>
      </x:c>
      <x:c r="J32" s="25" t="str">
        <x:f>IFERROR(VLOOKUP(E32,'الفريق الكامل'!$B$6:$J$47,9,FALSE),"غير محدد")</x:f>
        <x:v>05XX-XXX-1016</x:v>
      </x:c>
      <x:c r="K32" s="25" t="str">
        <x:f>IFERROR(VLOOKUP(D32,'الفريق الكامل'!$B$6:$J$47,9,FALSE),"غير محدد")</x:f>
        <x:v>05XX-XXX-1015</x:v>
      </x:c>
      <x:c r="L32" s="25" t="str">
        <x:f>IFERROR(VLOOKUP(G32,'الفريق الكامل'!$B$6:$J$47,9,FALSE),"غير محدد")</x:f>
        <x:v>05XX-XXX-1036</x:v>
      </x:c>
      <x:c r="M32" s="25" t="str">
        <x:f>'جميع الضيوف'!G32</x:f>
        <x:v>05XX-XXX-0027</x:v>
      </x:c>
      <x:c r="N32" s="79"/>
      <x:c r="O32" s="79"/>
      <x:c r="P32" s="79" t="str">
        <x:v>لم يبلغ بعد</x:v>
      </x:c>
      <x:c r="Q32" s="80" t="str">
        <x:f>IF(AND(COUNTIF('الفريق الكامل'!$B$6:$B$47,E32)=1,COUNTIF('الفريق الكامل'!$B$6:$B$47,D32)=1,IFERROR(VLOOKUP(E32,'الفريق الكامل'!$B$6:$E$47,4,FALSE),"")=C32,IFERROR(VLOOKUP(D32,'الفريق الكامل'!$B$6:$E$47,4,FALSE),"")=C32),"مطابق","تحقق من التكليف")</x:f>
        <x:v>مطابق</x:v>
      </x:c>
      <x:c r="R32" s="25" t="str">
        <x:v>تعيين تجريبي؛ البوابة الفعلية يختارها الضيف</x:v>
      </x:c>
    </x:row>
    <x:row r="33" ht="29" customHeight="1">
      <x:c r="A33" s="25" t="str">
        <x:v>GST-028</x:v>
      </x:c>
      <x:c r="B33" s="25" t="str">
        <x:f>'جميع الضيوف'!C33</x:f>
        <x:v>وليد العبداللطيف</x:v>
      </x:c>
      <x:c r="C33" s="25" t="str">
        <x:f>'جميع الضيوف'!F33</x:f>
        <x:v>المرشدون</x:v>
      </x:c>
      <x:c r="D33" s="25" t="str">
        <x:f>'جميع الضيوف'!J33</x:f>
        <x:v>فيصل اليامي</x:v>
      </x:c>
      <x:c r="E33" s="25" t="str">
        <x:f>'جميع الضيوف'!K33</x:f>
        <x:v>محمد الربيع</x:v>
      </x:c>
      <x:c r="F33" s="25" t="str">
        <x:f>IFERROR(VLOOKUP(C33,'خريطة التشغيل'!$A$6:$F$9,2,FALSE),"غير محدد")</x:f>
        <x:v>البوابة C</x:v>
      </x:c>
      <x:c r="G33" s="25" t="str">
        <x:f>IFERROR(VLOOKUP(C33,'خريطة التشغيل'!$A$6:$F$9,4,FALSE),"غير محدد")</x:f>
        <x:v>عبدالعزيز البحيري</x:v>
      </x:c>
      <x:c r="H33" s="25" t="str">
        <x:f>IFERROR(VLOOKUP(C33,'خريطة التشغيل'!$A$6:$F$9,5,FALSE),"غير محدد")</x:f>
        <x:v>منطقة الإرشاد</x:v>
      </x:c>
      <x:c r="I33" s="25" t="str">
        <x:f>'جميع الضيوف'!I33</x:f>
        <x:v>بانتظار التأكيد</x:v>
      </x:c>
      <x:c r="J33" s="25" t="str">
        <x:f>IFERROR(VLOOKUP(E33,'الفريق الكامل'!$B$6:$J$47,9,FALSE),"غير محدد")</x:f>
        <x:v>05XX-XXX-1017</x:v>
      </x:c>
      <x:c r="K33" s="25" t="str">
        <x:f>IFERROR(VLOOKUP(D33,'الفريق الكامل'!$B$6:$J$47,9,FALSE),"غير محدد")</x:f>
        <x:v>05XX-XXX-1015</x:v>
      </x:c>
      <x:c r="L33" s="25" t="str">
        <x:f>IFERROR(VLOOKUP(G33,'الفريق الكامل'!$B$6:$J$47,9,FALSE),"غير محدد")</x:f>
        <x:v>05XX-XXX-1036</x:v>
      </x:c>
      <x:c r="M33" s="25" t="str">
        <x:f>'جميع الضيوف'!G33</x:f>
        <x:v>05XX-XXX-0028</x:v>
      </x:c>
      <x:c r="N33" s="79"/>
      <x:c r="O33" s="79"/>
      <x:c r="P33" s="79" t="str">
        <x:v>لم يبلغ بعد</x:v>
      </x:c>
      <x:c r="Q33" s="80" t="str">
        <x:f>IF(AND(COUNTIF('الفريق الكامل'!$B$6:$B$47,E33)=1,COUNTIF('الفريق الكامل'!$B$6:$B$47,D33)=1,IFERROR(VLOOKUP(E33,'الفريق الكامل'!$B$6:$E$47,4,FALSE),"")=C33,IFERROR(VLOOKUP(D33,'الفريق الكامل'!$B$6:$E$47,4,FALSE),"")=C33),"مطابق","تحقق من التكليف")</x:f>
        <x:v>مطابق</x:v>
      </x:c>
      <x:c r="R33" s="25" t="str">
        <x:v>تعيين تجريبي؛ البوابة الفعلية يختارها الضيف</x:v>
      </x:c>
    </x:row>
    <x:row r="34" ht="29" customHeight="1">
      <x:c r="A34" s="25" t="str">
        <x:v>GST-029</x:v>
      </x:c>
      <x:c r="B34" s="25" t="str">
        <x:f>'جميع الضيوف'!C34</x:f>
        <x:v>أروى الحربي</x:v>
      </x:c>
      <x:c r="C34" s="25" t="str">
        <x:f>'جميع الضيوف'!F34</x:f>
        <x:v>المرشدون</x:v>
      </x:c>
      <x:c r="D34" s="25" t="str">
        <x:f>'جميع الضيوف'!J34</x:f>
        <x:v>فيصل اليامي</x:v>
      </x:c>
      <x:c r="E34" s="25" t="str">
        <x:f>'جميع الضيوف'!K34</x:f>
        <x:v>غادة المطيري</x:v>
      </x:c>
      <x:c r="F34" s="25" t="str">
        <x:f>IFERROR(VLOOKUP(C34,'خريطة التشغيل'!$A$6:$F$9,2,FALSE),"غير محدد")</x:f>
        <x:v>البوابة C</x:v>
      </x:c>
      <x:c r="G34" s="25" t="str">
        <x:f>IFERROR(VLOOKUP(C34,'خريطة التشغيل'!$A$6:$F$9,4,FALSE),"غير محدد")</x:f>
        <x:v>عبدالعزيز البحيري</x:v>
      </x:c>
      <x:c r="H34" s="25" t="str">
        <x:f>IFERROR(VLOOKUP(C34,'خريطة التشغيل'!$A$6:$F$9,5,FALSE),"غير محدد")</x:f>
        <x:v>منطقة الإرشاد</x:v>
      </x:c>
      <x:c r="I34" s="25" t="str">
        <x:f>'جميع الضيوف'!I34</x:f>
        <x:v>مؤكد</x:v>
      </x:c>
      <x:c r="J34" s="25" t="str">
        <x:f>IFERROR(VLOOKUP(E34,'الفريق الكامل'!$B$6:$J$47,9,FALSE),"غير محدد")</x:f>
        <x:v>05XX-XXX-1018</x:v>
      </x:c>
      <x:c r="K34" s="25" t="str">
        <x:f>IFERROR(VLOOKUP(D34,'الفريق الكامل'!$B$6:$J$47,9,FALSE),"غير محدد")</x:f>
        <x:v>05XX-XXX-1015</x:v>
      </x:c>
      <x:c r="L34" s="25" t="str">
        <x:f>IFERROR(VLOOKUP(G34,'الفريق الكامل'!$B$6:$J$47,9,FALSE),"غير محدد")</x:f>
        <x:v>05XX-XXX-1036</x:v>
      </x:c>
      <x:c r="M34" s="25" t="str">
        <x:f>'جميع الضيوف'!G34</x:f>
        <x:v>05XX-XXX-0029</x:v>
      </x:c>
      <x:c r="N34" s="79"/>
      <x:c r="O34" s="79"/>
      <x:c r="P34" s="79" t="str">
        <x:v>لم يبلغ بعد</x:v>
      </x:c>
      <x:c r="Q34" s="80" t="str">
        <x:f>IF(AND(COUNTIF('الفريق الكامل'!$B$6:$B$47,E34)=1,COUNTIF('الفريق الكامل'!$B$6:$B$47,D34)=1,IFERROR(VLOOKUP(E34,'الفريق الكامل'!$B$6:$E$47,4,FALSE),"")=C34,IFERROR(VLOOKUP(D34,'الفريق الكامل'!$B$6:$E$47,4,FALSE),"")=C34),"مطابق","تحقق من التكليف")</x:f>
        <x:v>مطابق</x:v>
      </x:c>
      <x:c r="R34" s="25" t="str">
        <x:v>تعيين تجريبي؛ البوابة الفعلية يختارها الضيف</x:v>
      </x:c>
    </x:row>
    <x:row r="35" ht="29" customHeight="1">
      <x:c r="A35" s="25" t="str">
        <x:v>GST-030</x:v>
      </x:c>
      <x:c r="B35" s="25" t="str">
        <x:f>'جميع الضيوف'!C35</x:f>
        <x:v>نايف الزهراني</x:v>
      </x:c>
      <x:c r="C35" s="25" t="str">
        <x:f>'جميع الضيوف'!F35</x:f>
        <x:v>المرشدون</x:v>
      </x:c>
      <x:c r="D35" s="25" t="str">
        <x:f>'جميع الضيوف'!J35</x:f>
        <x:v>فيصل اليامي</x:v>
      </x:c>
      <x:c r="E35" s="25" t="str">
        <x:f>'جميع الضيوف'!K35</x:f>
        <x:v>خولة الشهري</x:v>
      </x:c>
      <x:c r="F35" s="25" t="str">
        <x:f>IFERROR(VLOOKUP(C35,'خريطة التشغيل'!$A$6:$F$9,2,FALSE),"غير محدد")</x:f>
        <x:v>البوابة C</x:v>
      </x:c>
      <x:c r="G35" s="25" t="str">
        <x:f>IFERROR(VLOOKUP(C35,'خريطة التشغيل'!$A$6:$F$9,4,FALSE),"غير محدد")</x:f>
        <x:v>عبدالعزيز البحيري</x:v>
      </x:c>
      <x:c r="H35" s="25" t="str">
        <x:f>IFERROR(VLOOKUP(C35,'خريطة التشغيل'!$A$6:$F$9,5,FALSE),"غير محدد")</x:f>
        <x:v>منطقة الإرشاد</x:v>
      </x:c>
      <x:c r="I35" s="25" t="str">
        <x:f>'جميع الضيوف'!I35</x:f>
        <x:v>اعتذر</x:v>
      </x:c>
      <x:c r="J35" s="25" t="str">
        <x:f>IFERROR(VLOOKUP(E35,'الفريق الكامل'!$B$6:$J$47,9,FALSE),"غير محدد")</x:f>
        <x:v>05XX-XXX-1016</x:v>
      </x:c>
      <x:c r="K35" s="25" t="str">
        <x:f>IFERROR(VLOOKUP(D35,'الفريق الكامل'!$B$6:$J$47,9,FALSE),"غير محدد")</x:f>
        <x:v>05XX-XXX-1015</x:v>
      </x:c>
      <x:c r="L35" s="25" t="str">
        <x:f>IFERROR(VLOOKUP(G35,'الفريق الكامل'!$B$6:$J$47,9,FALSE),"غير محدد")</x:f>
        <x:v>05XX-XXX-1036</x:v>
      </x:c>
      <x:c r="M35" s="25" t="str">
        <x:f>'جميع الضيوف'!G35</x:f>
        <x:v>05XX-XXX-0030</x:v>
      </x:c>
      <x:c r="N35" s="79"/>
      <x:c r="O35" s="79"/>
      <x:c r="P35" s="79" t="str">
        <x:v>لم يبلغ بعد</x:v>
      </x:c>
      <x:c r="Q35" s="80" t="str">
        <x:f>IF(AND(COUNTIF('الفريق الكامل'!$B$6:$B$47,E35)=1,COUNTIF('الفريق الكامل'!$B$6:$B$47,D35)=1,IFERROR(VLOOKUP(E35,'الفريق الكامل'!$B$6:$E$47,4,FALSE),"")=C35,IFERROR(VLOOKUP(D35,'الفريق الكامل'!$B$6:$E$47,4,FALSE),"")=C35),"مطابق","تحقق من التكليف")</x:f>
        <x:v>مطابق</x:v>
      </x:c>
      <x:c r="R35" s="25" t="str">
        <x:v>تعيين تجريبي؛ البوابة الفعلية يختارها الضيف</x:v>
      </x:c>
    </x:row>
    <x:row r="36" ht="29" customHeight="1">
      <x:c r="A36" s="25" t="str">
        <x:v>GST-031</x:v>
      </x:c>
      <x:c r="B36" s="25" t="str">
        <x:f>'جميع الضيوف'!C36</x:f>
        <x:v>هيثم البدر</x:v>
      </x:c>
      <x:c r="C36" s="25" t="str">
        <x:f>'جميع الضيوف'!F36</x:f>
        <x:v>محكمو معرض الابتكار</x:v>
      </x:c>
      <x:c r="D36" s="25" t="str">
        <x:f>'جميع الضيوف'!J36</x:f>
        <x:v>مي العبدالله</x:v>
      </x:c>
      <x:c r="E36" s="25" t="str">
        <x:f>'جميع الضيوف'!K36</x:f>
        <x:v>يزن الرشيد</x:v>
      </x:c>
      <x:c r="F36" s="25" t="str">
        <x:f>IFERROR(VLOOKUP(C36,'خريطة التشغيل'!$A$6:$F$9,2,FALSE),"غير محدد")</x:f>
        <x:v>البوابة D</x:v>
      </x:c>
      <x:c r="G36" s="25" t="str">
        <x:f>IFERROR(VLOOKUP(C36,'خريطة التشغيل'!$A$6:$F$9,4,FALSE),"غير محدد")</x:f>
        <x:v>وسن الفهد</x:v>
      </x:c>
      <x:c r="H36" s="25" t="str">
        <x:f>IFERROR(VLOOKUP(C36,'خريطة التشغيل'!$A$6:$F$9,5,FALSE),"غير محدد")</x:f>
        <x:v>معرض الابتكار</x:v>
      </x:c>
      <x:c r="I36" s="25" t="str">
        <x:f>'جميع الضيوف'!I36</x:f>
        <x:v>مؤكد</x:v>
      </x:c>
      <x:c r="J36" s="25" t="str">
        <x:f>IFERROR(VLOOKUP(E36,'الفريق الكامل'!$B$6:$J$47,9,FALSE),"غير محدد")</x:f>
        <x:v>05XX-XXX-1029</x:v>
      </x:c>
      <x:c r="K36" s="25" t="str">
        <x:f>IFERROR(VLOOKUP(D36,'الفريق الكامل'!$B$6:$J$47,9,FALSE),"غير محدد")</x:f>
        <x:v>05XX-XXX-1028</x:v>
      </x:c>
      <x:c r="L36" s="25" t="str">
        <x:f>IFERROR(VLOOKUP(G36,'الفريق الكامل'!$B$6:$J$47,9,FALSE),"غير محدد")</x:f>
        <x:v>05XX-XXX-1037</x:v>
      </x:c>
      <x:c r="M36" s="25" t="str">
        <x:f>'جميع الضيوف'!G36</x:f>
        <x:v>05XX-XXX-0031</x:v>
      </x:c>
      <x:c r="N36" s="79"/>
      <x:c r="O36" s="79"/>
      <x:c r="P36" s="79" t="str">
        <x:v>لم يبلغ بعد</x:v>
      </x:c>
      <x:c r="Q36" s="80" t="str">
        <x:f>IF(AND(COUNTIF('الفريق الكامل'!$B$6:$B$47,E36)=1,COUNTIF('الفريق الكامل'!$B$6:$B$47,D36)=1,IFERROR(VLOOKUP(E36,'الفريق الكامل'!$B$6:$E$47,4,FALSE),"")=C36,IFERROR(VLOOKUP(D36,'الفريق الكامل'!$B$6:$E$47,4,FALSE),"")=C36),"مطابق","تحقق من التكليف")</x:f>
        <x:v>مطابق</x:v>
      </x:c>
      <x:c r="R36" s="25" t="str">
        <x:v>تعيين تجريبي؛ البوابة الفعلية يختارها الضيف</x:v>
      </x:c>
    </x:row>
    <x:row r="37" ht="29" customHeight="1">
      <x:c r="A37" s="25" t="str">
        <x:v>GST-032</x:v>
      </x:c>
      <x:c r="B37" s="25" t="str">
        <x:f>'جميع الضيوف'!C37</x:f>
        <x:v>سلوى القحطاني</x:v>
      </x:c>
      <x:c r="C37" s="25" t="str">
        <x:f>'جميع الضيوف'!F37</x:f>
        <x:v>محكمو معرض الابتكار</x:v>
      </x:c>
      <x:c r="D37" s="25" t="str">
        <x:f>'جميع الضيوف'!J37</x:f>
        <x:v>مي العبدالله</x:v>
      </x:c>
      <x:c r="E37" s="25" t="str">
        <x:f>'جميع الضيوف'!K37</x:f>
        <x:v>الجوهرة الشهري</x:v>
      </x:c>
      <x:c r="F37" s="25" t="str">
        <x:f>IFERROR(VLOOKUP(C37,'خريطة التشغيل'!$A$6:$F$9,2,FALSE),"غير محدد")</x:f>
        <x:v>البوابة D</x:v>
      </x:c>
      <x:c r="G37" s="25" t="str">
        <x:f>IFERROR(VLOOKUP(C37,'خريطة التشغيل'!$A$6:$F$9,4,FALSE),"غير محدد")</x:f>
        <x:v>وسن الفهد</x:v>
      </x:c>
      <x:c r="H37" s="25" t="str">
        <x:f>IFERROR(VLOOKUP(C37,'خريطة التشغيل'!$A$6:$F$9,5,FALSE),"غير محدد")</x:f>
        <x:v>معرض الابتكار</x:v>
      </x:c>
      <x:c r="I37" s="25" t="str">
        <x:f>'جميع الضيوف'!I37</x:f>
        <x:v>مؤكد</x:v>
      </x:c>
      <x:c r="J37" s="25" t="str">
        <x:f>IFERROR(VLOOKUP(E37,'الفريق الكامل'!$B$6:$J$47,9,FALSE),"غير محدد")</x:f>
        <x:v>05XX-XXX-1030</x:v>
      </x:c>
      <x:c r="K37" s="25" t="str">
        <x:f>IFERROR(VLOOKUP(D37,'الفريق الكامل'!$B$6:$J$47,9,FALSE),"غير محدد")</x:f>
        <x:v>05XX-XXX-1028</x:v>
      </x:c>
      <x:c r="L37" s="25" t="str">
        <x:f>IFERROR(VLOOKUP(G37,'الفريق الكامل'!$B$6:$J$47,9,FALSE),"غير محدد")</x:f>
        <x:v>05XX-XXX-1037</x:v>
      </x:c>
      <x:c r="M37" s="25" t="str">
        <x:f>'جميع الضيوف'!G37</x:f>
        <x:v>05XX-XXX-0032</x:v>
      </x:c>
      <x:c r="N37" s="79"/>
      <x:c r="O37" s="79"/>
      <x:c r="P37" s="79" t="str">
        <x:v>لم يبلغ بعد</x:v>
      </x:c>
      <x:c r="Q37" s="80" t="str">
        <x:f>IF(AND(COUNTIF('الفريق الكامل'!$B$6:$B$47,E37)=1,COUNTIF('الفريق الكامل'!$B$6:$B$47,D37)=1,IFERROR(VLOOKUP(E37,'الفريق الكامل'!$B$6:$E$47,4,FALSE),"")=C37,IFERROR(VLOOKUP(D37,'الفريق الكامل'!$B$6:$E$47,4,FALSE),"")=C37),"مطابق","تحقق من التكليف")</x:f>
        <x:v>مطابق</x:v>
      </x:c>
      <x:c r="R37" s="25" t="str">
        <x:v>تعيين تجريبي؛ البوابة الفعلية يختارها الضيف</x:v>
      </x:c>
    </x:row>
    <x:row r="38" ht="29" customHeight="1">
      <x:c r="A38" s="25" t="str">
        <x:v>GST-033</x:v>
      </x:c>
      <x:c r="B38" s="25" t="str">
        <x:f>'جميع الضيوف'!C38</x:f>
        <x:v>حسان الجهني</x:v>
      </x:c>
      <x:c r="C38" s="25" t="str">
        <x:f>'جميع الضيوف'!F38</x:f>
        <x:v>محكمو معرض الابتكار</x:v>
      </x:c>
      <x:c r="D38" s="25" t="str">
        <x:f>'جميع الضيوف'!J38</x:f>
        <x:v>مي العبدالله</x:v>
      </x:c>
      <x:c r="E38" s="25" t="str">
        <x:f>'جميع الضيوف'!K38</x:f>
        <x:v>فيصل العسيري</x:v>
      </x:c>
      <x:c r="F38" s="25" t="str">
        <x:f>IFERROR(VLOOKUP(C38,'خريطة التشغيل'!$A$6:$F$9,2,FALSE),"غير محدد")</x:f>
        <x:v>البوابة D</x:v>
      </x:c>
      <x:c r="G38" s="25" t="str">
        <x:f>IFERROR(VLOOKUP(C38,'خريطة التشغيل'!$A$6:$F$9,4,FALSE),"غير محدد")</x:f>
        <x:v>وسن الفهد</x:v>
      </x:c>
      <x:c r="H38" s="25" t="str">
        <x:f>IFERROR(VLOOKUP(C38,'خريطة التشغيل'!$A$6:$F$9,5,FALSE),"غير محدد")</x:f>
        <x:v>معرض الابتكار</x:v>
      </x:c>
      <x:c r="I38" s="25" t="str">
        <x:f>'جميع الضيوف'!I38</x:f>
        <x:v>بانتظار التأكيد</x:v>
      </x:c>
      <x:c r="J38" s="25" t="str">
        <x:f>IFERROR(VLOOKUP(E38,'الفريق الكامل'!$B$6:$J$47,9,FALSE),"غير محدد")</x:f>
        <x:v>05XX-XXX-1031</x:v>
      </x:c>
      <x:c r="K38" s="25" t="str">
        <x:f>IFERROR(VLOOKUP(D38,'الفريق الكامل'!$B$6:$J$47,9,FALSE),"غير محدد")</x:f>
        <x:v>05XX-XXX-1028</x:v>
      </x:c>
      <x:c r="L38" s="25" t="str">
        <x:f>IFERROR(VLOOKUP(G38,'الفريق الكامل'!$B$6:$J$47,9,FALSE),"غير محدد")</x:f>
        <x:v>05XX-XXX-1037</x:v>
      </x:c>
      <x:c r="M38" s="25" t="str">
        <x:f>'جميع الضيوف'!G38</x:f>
        <x:v>05XX-XXX-0033</x:v>
      </x:c>
      <x:c r="N38" s="79"/>
      <x:c r="O38" s="79"/>
      <x:c r="P38" s="79" t="str">
        <x:v>لم يبلغ بعد</x:v>
      </x:c>
      <x:c r="Q38" s="80" t="str">
        <x:f>IF(AND(COUNTIF('الفريق الكامل'!$B$6:$B$47,E38)=1,COUNTIF('الفريق الكامل'!$B$6:$B$47,D38)=1,IFERROR(VLOOKUP(E38,'الفريق الكامل'!$B$6:$E$47,4,FALSE),"")=C38,IFERROR(VLOOKUP(D38,'الفريق الكامل'!$B$6:$E$47,4,FALSE),"")=C38),"مطابق","تحقق من التكليف")</x:f>
        <x:v>مطابق</x:v>
      </x:c>
      <x:c r="R38" s="25" t="str">
        <x:v>تعيين تجريبي؛ البوابة الفعلية يختارها الضيف</x:v>
      </x:c>
    </x:row>
    <x:row r="39" ht="29" customHeight="1">
      <x:c r="A39" s="25" t="str">
        <x:v>GST-034</x:v>
      </x:c>
      <x:c r="B39" s="25" t="str">
        <x:f>'جميع الضيوف'!C39</x:f>
        <x:v>ريم الحارثي</x:v>
      </x:c>
      <x:c r="C39" s="25" t="str">
        <x:f>'جميع الضيوف'!F39</x:f>
        <x:v>محكمو معرض الابتكار</x:v>
      </x:c>
      <x:c r="D39" s="25" t="str">
        <x:f>'جميع الضيوف'!J39</x:f>
        <x:v>مي العبدالله</x:v>
      </x:c>
      <x:c r="E39" s="25" t="str">
        <x:f>'جميع الضيوف'!K39</x:f>
        <x:v>يزن الرشيد</x:v>
      </x:c>
      <x:c r="F39" s="25" t="str">
        <x:f>IFERROR(VLOOKUP(C39,'خريطة التشغيل'!$A$6:$F$9,2,FALSE),"غير محدد")</x:f>
        <x:v>البوابة D</x:v>
      </x:c>
      <x:c r="G39" s="25" t="str">
        <x:f>IFERROR(VLOOKUP(C39,'خريطة التشغيل'!$A$6:$F$9,4,FALSE),"غير محدد")</x:f>
        <x:v>وسن الفهد</x:v>
      </x:c>
      <x:c r="H39" s="25" t="str">
        <x:f>IFERROR(VLOOKUP(C39,'خريطة التشغيل'!$A$6:$F$9,5,FALSE),"غير محدد")</x:f>
        <x:v>معرض الابتكار</x:v>
      </x:c>
      <x:c r="I39" s="25" t="str">
        <x:f>'جميع الضيوف'!I39</x:f>
        <x:v>مؤكد</x:v>
      </x:c>
      <x:c r="J39" s="25" t="str">
        <x:f>IFERROR(VLOOKUP(E39,'الفريق الكامل'!$B$6:$J$47,9,FALSE),"غير محدد")</x:f>
        <x:v>05XX-XXX-1029</x:v>
      </x:c>
      <x:c r="K39" s="25" t="str">
        <x:f>IFERROR(VLOOKUP(D39,'الفريق الكامل'!$B$6:$J$47,9,FALSE),"غير محدد")</x:f>
        <x:v>05XX-XXX-1028</x:v>
      </x:c>
      <x:c r="L39" s="25" t="str">
        <x:f>IFERROR(VLOOKUP(G39,'الفريق الكامل'!$B$6:$J$47,9,FALSE),"غير محدد")</x:f>
        <x:v>05XX-XXX-1037</x:v>
      </x:c>
      <x:c r="M39" s="25" t="str">
        <x:f>'جميع الضيوف'!G39</x:f>
        <x:v>05XX-XXX-0034</x:v>
      </x:c>
      <x:c r="N39" s="79"/>
      <x:c r="O39" s="79"/>
      <x:c r="P39" s="79" t="str">
        <x:v>لم يبلغ بعد</x:v>
      </x:c>
      <x:c r="Q39" s="80" t="str">
        <x:f>IF(AND(COUNTIF('الفريق الكامل'!$B$6:$B$47,E39)=1,COUNTIF('الفريق الكامل'!$B$6:$B$47,D39)=1,IFERROR(VLOOKUP(E39,'الفريق الكامل'!$B$6:$E$47,4,FALSE),"")=C39,IFERROR(VLOOKUP(D39,'الفريق الكامل'!$B$6:$E$47,4,FALSE),"")=C39),"مطابق","تحقق من التكليف")</x:f>
        <x:v>مطابق</x:v>
      </x:c>
      <x:c r="R39" s="25" t="str">
        <x:v>تعيين تجريبي؛ البوابة الفعلية يختارها الضيف</x:v>
      </x:c>
    </x:row>
    <x:row r="40" ht="29" customHeight="1">
      <x:c r="A40" s="25" t="str">
        <x:v>GST-035</x:v>
      </x:c>
      <x:c r="B40" s="25" t="str">
        <x:f>'جميع الضيوف'!C40</x:f>
        <x:v>مازن التركي</x:v>
      </x:c>
      <x:c r="C40" s="25" t="str">
        <x:f>'جميع الضيوف'!F40</x:f>
        <x:v>محكمو معرض الابتكار</x:v>
      </x:c>
      <x:c r="D40" s="25" t="str">
        <x:f>'جميع الضيوف'!J40</x:f>
        <x:v>مي العبدالله</x:v>
      </x:c>
      <x:c r="E40" s="25" t="str">
        <x:f>'جميع الضيوف'!K40</x:f>
        <x:v>الجوهرة الشهري</x:v>
      </x:c>
      <x:c r="F40" s="25" t="str">
        <x:f>IFERROR(VLOOKUP(C40,'خريطة التشغيل'!$A$6:$F$9,2,FALSE),"غير محدد")</x:f>
        <x:v>البوابة D</x:v>
      </x:c>
      <x:c r="G40" s="25" t="str">
        <x:f>IFERROR(VLOOKUP(C40,'خريطة التشغيل'!$A$6:$F$9,4,FALSE),"غير محدد")</x:f>
        <x:v>وسن الفهد</x:v>
      </x:c>
      <x:c r="H40" s="25" t="str">
        <x:f>IFERROR(VLOOKUP(C40,'خريطة التشغيل'!$A$6:$F$9,5,FALSE),"غير محدد")</x:f>
        <x:v>معرض الابتكار</x:v>
      </x:c>
      <x:c r="I40" s="25" t="str">
        <x:f>'جميع الضيوف'!I40</x:f>
        <x:v>قيد التنسيق</x:v>
      </x:c>
      <x:c r="J40" s="25" t="str">
        <x:f>IFERROR(VLOOKUP(E40,'الفريق الكامل'!$B$6:$J$47,9,FALSE),"غير محدد")</x:f>
        <x:v>05XX-XXX-1030</x:v>
      </x:c>
      <x:c r="K40" s="25" t="str">
        <x:f>IFERROR(VLOOKUP(D40,'الفريق الكامل'!$B$6:$J$47,9,FALSE),"غير محدد")</x:f>
        <x:v>05XX-XXX-1028</x:v>
      </x:c>
      <x:c r="L40" s="25" t="str">
        <x:f>IFERROR(VLOOKUP(G40,'الفريق الكامل'!$B$6:$J$47,9,FALSE),"غير محدد")</x:f>
        <x:v>05XX-XXX-1037</x:v>
      </x:c>
      <x:c r="M40" s="25" t="str">
        <x:f>'جميع الضيوف'!G40</x:f>
        <x:v>05XX-XXX-0035</x:v>
      </x:c>
      <x:c r="N40" s="79"/>
      <x:c r="O40" s="79"/>
      <x:c r="P40" s="79" t="str">
        <x:v>لم يبلغ بعد</x:v>
      </x:c>
      <x:c r="Q40" s="80" t="str">
        <x:f>IF(AND(COUNTIF('الفريق الكامل'!$B$6:$B$47,E40)=1,COUNTIF('الفريق الكامل'!$B$6:$B$47,D40)=1,IFERROR(VLOOKUP(E40,'الفريق الكامل'!$B$6:$E$47,4,FALSE),"")=C40,IFERROR(VLOOKUP(D40,'الفريق الكامل'!$B$6:$E$47,4,FALSE),"")=C40),"مطابق","تحقق من التكليف")</x:f>
        <x:v>مطابق</x:v>
      </x:c>
      <x:c r="R40" s="25" t="str">
        <x:v>تعيين تجريبي؛ البوابة الفعلية يختارها الضيف</x:v>
      </x:c>
    </x:row>
    <x:row r="41" ht="29" customHeight="1">
      <x:c r="A41" s="25" t="str">
        <x:v>GST-036</x:v>
      </x:c>
      <x:c r="B41" s="25" t="str">
        <x:f>'جميع الضيوف'!C41</x:f>
        <x:v>جود المطيري</x:v>
      </x:c>
      <x:c r="C41" s="25" t="str">
        <x:f>'جميع الضيوف'!F41</x:f>
        <x:v>محكمو معرض الابتكار</x:v>
      </x:c>
      <x:c r="D41" s="25" t="str">
        <x:f>'جميع الضيوف'!J41</x:f>
        <x:v>مي العبدالله</x:v>
      </x:c>
      <x:c r="E41" s="25" t="str">
        <x:f>'جميع الضيوف'!K41</x:f>
        <x:v>فيصل العسيري</x:v>
      </x:c>
      <x:c r="F41" s="25" t="str">
        <x:f>IFERROR(VLOOKUP(C41,'خريطة التشغيل'!$A$6:$F$9,2,FALSE),"غير محدد")</x:f>
        <x:v>البوابة D</x:v>
      </x:c>
      <x:c r="G41" s="25" t="str">
        <x:f>IFERROR(VLOOKUP(C41,'خريطة التشغيل'!$A$6:$F$9,4,FALSE),"غير محدد")</x:f>
        <x:v>وسن الفهد</x:v>
      </x:c>
      <x:c r="H41" s="25" t="str">
        <x:f>IFERROR(VLOOKUP(C41,'خريطة التشغيل'!$A$6:$F$9,5,FALSE),"غير محدد")</x:f>
        <x:v>معرض الابتكار</x:v>
      </x:c>
      <x:c r="I41" s="25" t="str">
        <x:f>'جميع الضيوف'!I41</x:f>
        <x:v>مؤكد</x:v>
      </x:c>
      <x:c r="J41" s="25" t="str">
        <x:f>IFERROR(VLOOKUP(E41,'الفريق الكامل'!$B$6:$J$47,9,FALSE),"غير محدد")</x:f>
        <x:v>05XX-XXX-1031</x:v>
      </x:c>
      <x:c r="K41" s="25" t="str">
        <x:f>IFERROR(VLOOKUP(D41,'الفريق الكامل'!$B$6:$J$47,9,FALSE),"غير محدد")</x:f>
        <x:v>05XX-XXX-1028</x:v>
      </x:c>
      <x:c r="L41" s="25" t="str">
        <x:f>IFERROR(VLOOKUP(G41,'الفريق الكامل'!$B$6:$J$47,9,FALSE),"غير محدد")</x:f>
        <x:v>05XX-XXX-1037</x:v>
      </x:c>
      <x:c r="M41" s="25" t="str">
        <x:f>'جميع الضيوف'!G41</x:f>
        <x:v>05XX-XXX-0036</x:v>
      </x:c>
      <x:c r="N41" s="79"/>
      <x:c r="O41" s="79"/>
      <x:c r="P41" s="79" t="str">
        <x:v>لم يبلغ بعد</x:v>
      </x:c>
      <x:c r="Q41" s="80" t="str">
        <x:f>IF(AND(COUNTIF('الفريق الكامل'!$B$6:$B$47,E41)=1,COUNTIF('الفريق الكامل'!$B$6:$B$47,D41)=1,IFERROR(VLOOKUP(E41,'الفريق الكامل'!$B$6:$E$47,4,FALSE),"")=C41,IFERROR(VLOOKUP(D41,'الفريق الكامل'!$B$6:$E$47,4,FALSE),"")=C41),"مطابق","تحقق من التكليف")</x:f>
        <x:v>مطابق</x:v>
      </x:c>
      <x:c r="R41" s="25" t="str">
        <x:v>تعيين تجريبي؛ البوابة الفعلية يختارها الضيف</x:v>
      </x:c>
    </x:row>
    <x:row r="42" ht="29" customHeight="1">
      <x:c r="A42" s="25" t="str">
        <x:v>GST-037</x:v>
      </x:c>
      <x:c r="B42" s="25" t="str">
        <x:f>'جميع الضيوف'!C42</x:f>
        <x:v>سيف الهاجري</x:v>
      </x:c>
      <x:c r="C42" s="25" t="str">
        <x:f>'جميع الضيوف'!F42</x:f>
        <x:v>محكمو معرض الابتكار</x:v>
      </x:c>
      <x:c r="D42" s="25" t="str">
        <x:f>'جميع الضيوف'!J42</x:f>
        <x:v>مي العبدالله</x:v>
      </x:c>
      <x:c r="E42" s="25" t="str">
        <x:f>'جميع الضيوف'!K42</x:f>
        <x:v>يزن الرشيد</x:v>
      </x:c>
      <x:c r="F42" s="25" t="str">
        <x:f>IFERROR(VLOOKUP(C42,'خريطة التشغيل'!$A$6:$F$9,2,FALSE),"غير محدد")</x:f>
        <x:v>البوابة D</x:v>
      </x:c>
      <x:c r="G42" s="25" t="str">
        <x:f>IFERROR(VLOOKUP(C42,'خريطة التشغيل'!$A$6:$F$9,4,FALSE),"غير محدد")</x:f>
        <x:v>وسن الفهد</x:v>
      </x:c>
      <x:c r="H42" s="25" t="str">
        <x:f>IFERROR(VLOOKUP(C42,'خريطة التشغيل'!$A$6:$F$9,5,FALSE),"غير محدد")</x:f>
        <x:v>معرض الابتكار</x:v>
      </x:c>
      <x:c r="I42" s="25" t="str">
        <x:f>'جميع الضيوف'!I42</x:f>
        <x:v>مؤكد</x:v>
      </x:c>
      <x:c r="J42" s="25" t="str">
        <x:f>IFERROR(VLOOKUP(E42,'الفريق الكامل'!$B$6:$J$47,9,FALSE),"غير محدد")</x:f>
        <x:v>05XX-XXX-1029</x:v>
      </x:c>
      <x:c r="K42" s="25" t="str">
        <x:f>IFERROR(VLOOKUP(D42,'الفريق الكامل'!$B$6:$J$47,9,FALSE),"غير محدد")</x:f>
        <x:v>05XX-XXX-1028</x:v>
      </x:c>
      <x:c r="L42" s="25" t="str">
        <x:f>IFERROR(VLOOKUP(G42,'الفريق الكامل'!$B$6:$J$47,9,FALSE),"غير محدد")</x:f>
        <x:v>05XX-XXX-1037</x:v>
      </x:c>
      <x:c r="M42" s="25" t="str">
        <x:f>'جميع الضيوف'!G42</x:f>
        <x:v>05XX-XXX-0037</x:v>
      </x:c>
      <x:c r="N42" s="79"/>
      <x:c r="O42" s="79"/>
      <x:c r="P42" s="79" t="str">
        <x:v>لم يبلغ بعد</x:v>
      </x:c>
      <x:c r="Q42" s="80" t="str">
        <x:f>IF(AND(COUNTIF('الفريق الكامل'!$B$6:$B$47,E42)=1,COUNTIF('الفريق الكامل'!$B$6:$B$47,D42)=1,IFERROR(VLOOKUP(E42,'الفريق الكامل'!$B$6:$E$47,4,FALSE),"")=C42,IFERROR(VLOOKUP(D42,'الفريق الكامل'!$B$6:$E$47,4,FALSE),"")=C42),"مطابق","تحقق من التكليف")</x:f>
        <x:v>مطابق</x:v>
      </x:c>
      <x:c r="R42" s="25" t="str">
        <x:v>تعيين تجريبي؛ البوابة الفعلية يختارها الضيف</x:v>
      </x:c>
    </x:row>
    <x:row r="43" ht="29" customHeight="1">
      <x:c r="A43" s="25" t="str">
        <x:v>GST-038</x:v>
      </x:c>
      <x:c r="B43" s="25" t="str">
        <x:f>'جميع الضيوف'!C43</x:f>
        <x:v>نور السبيعي</x:v>
      </x:c>
      <x:c r="C43" s="25" t="str">
        <x:f>'جميع الضيوف'!F43</x:f>
        <x:v>محكمو معرض الابتكار</x:v>
      </x:c>
      <x:c r="D43" s="25" t="str">
        <x:f>'جميع الضيوف'!J43</x:f>
        <x:v>مي العبدالله</x:v>
      </x:c>
      <x:c r="E43" s="25" t="str">
        <x:f>'جميع الضيوف'!K43</x:f>
        <x:v>الجوهرة الشهري</x:v>
      </x:c>
      <x:c r="F43" s="25" t="str">
        <x:f>IFERROR(VLOOKUP(C43,'خريطة التشغيل'!$A$6:$F$9,2,FALSE),"غير محدد")</x:f>
        <x:v>البوابة D</x:v>
      </x:c>
      <x:c r="G43" s="25" t="str">
        <x:f>IFERROR(VLOOKUP(C43,'خريطة التشغيل'!$A$6:$F$9,4,FALSE),"غير محدد")</x:f>
        <x:v>وسن الفهد</x:v>
      </x:c>
      <x:c r="H43" s="25" t="str">
        <x:f>IFERROR(VLOOKUP(C43,'خريطة التشغيل'!$A$6:$F$9,5,FALSE),"غير محدد")</x:f>
        <x:v>معرض الابتكار</x:v>
      </x:c>
      <x:c r="I43" s="25" t="str">
        <x:f>'جميع الضيوف'!I43</x:f>
        <x:v>بانتظار التأكيد</x:v>
      </x:c>
      <x:c r="J43" s="25" t="str">
        <x:f>IFERROR(VLOOKUP(E43,'الفريق الكامل'!$B$6:$J$47,9,FALSE),"غير محدد")</x:f>
        <x:v>05XX-XXX-1030</x:v>
      </x:c>
      <x:c r="K43" s="25" t="str">
        <x:f>IFERROR(VLOOKUP(D43,'الفريق الكامل'!$B$6:$J$47,9,FALSE),"غير محدد")</x:f>
        <x:v>05XX-XXX-1028</x:v>
      </x:c>
      <x:c r="L43" s="25" t="str">
        <x:f>IFERROR(VLOOKUP(G43,'الفريق الكامل'!$B$6:$J$47,9,FALSE),"غير محدد")</x:f>
        <x:v>05XX-XXX-1037</x:v>
      </x:c>
      <x:c r="M43" s="25" t="str">
        <x:f>'جميع الضيوف'!G43</x:f>
        <x:v>05XX-XXX-0038</x:v>
      </x:c>
      <x:c r="N43" s="79"/>
      <x:c r="O43" s="79"/>
      <x:c r="P43" s="79" t="str">
        <x:v>لم يبلغ بعد</x:v>
      </x:c>
      <x:c r="Q43" s="80" t="str">
        <x:f>IF(AND(COUNTIF('الفريق الكامل'!$B$6:$B$47,E43)=1,COUNTIF('الفريق الكامل'!$B$6:$B$47,D43)=1,IFERROR(VLOOKUP(E43,'الفريق الكامل'!$B$6:$E$47,4,FALSE),"")=C43,IFERROR(VLOOKUP(D43,'الفريق الكامل'!$B$6:$E$47,4,FALSE),"")=C43),"مطابق","تحقق من التكليف")</x:f>
        <x:v>مطابق</x:v>
      </x:c>
      <x:c r="R43" s="25" t="str">
        <x:v>تعيين تجريبي؛ البوابة الفعلية يختارها الضيف</x:v>
      </x:c>
    </x:row>
    <x:row r="44" ht="29" customHeight="1">
      <x:c r="A44" s="25" t="str">
        <x:v>GST-039</x:v>
      </x:c>
      <x:c r="B44" s="25" t="str">
        <x:f>'جميع الضيوف'!C44</x:f>
        <x:v>فارس الغامدي</x:v>
      </x:c>
      <x:c r="C44" s="25" t="str">
        <x:f>'جميع الضيوف'!F44</x:f>
        <x:v>محكمو معرض الابتكار</x:v>
      </x:c>
      <x:c r="D44" s="25" t="str">
        <x:f>'جميع الضيوف'!J44</x:f>
        <x:v>مي العبدالله</x:v>
      </x:c>
      <x:c r="E44" s="25" t="str">
        <x:f>'جميع الضيوف'!K44</x:f>
        <x:v>فيصل العسيري</x:v>
      </x:c>
      <x:c r="F44" s="25" t="str">
        <x:f>IFERROR(VLOOKUP(C44,'خريطة التشغيل'!$A$6:$F$9,2,FALSE),"غير محدد")</x:f>
        <x:v>البوابة D</x:v>
      </x:c>
      <x:c r="G44" s="25" t="str">
        <x:f>IFERROR(VLOOKUP(C44,'خريطة التشغيل'!$A$6:$F$9,4,FALSE),"غير محدد")</x:f>
        <x:v>وسن الفهد</x:v>
      </x:c>
      <x:c r="H44" s="25" t="str">
        <x:f>IFERROR(VLOOKUP(C44,'خريطة التشغيل'!$A$6:$F$9,5,FALSE),"غير محدد")</x:f>
        <x:v>معرض الابتكار</x:v>
      </x:c>
      <x:c r="I44" s="25" t="str">
        <x:f>'جميع الضيوف'!I44</x:f>
        <x:v>مؤكد</x:v>
      </x:c>
      <x:c r="J44" s="25" t="str">
        <x:f>IFERROR(VLOOKUP(E44,'الفريق الكامل'!$B$6:$J$47,9,FALSE),"غير محدد")</x:f>
        <x:v>05XX-XXX-1031</x:v>
      </x:c>
      <x:c r="K44" s="25" t="str">
        <x:f>IFERROR(VLOOKUP(D44,'الفريق الكامل'!$B$6:$J$47,9,FALSE),"غير محدد")</x:f>
        <x:v>05XX-XXX-1028</x:v>
      </x:c>
      <x:c r="L44" s="25" t="str">
        <x:f>IFERROR(VLOOKUP(G44,'الفريق الكامل'!$B$6:$J$47,9,FALSE),"غير محدد")</x:f>
        <x:v>05XX-XXX-1037</x:v>
      </x:c>
      <x:c r="M44" s="25" t="str">
        <x:f>'جميع الضيوف'!G44</x:f>
        <x:v>05XX-XXX-0039</x:v>
      </x:c>
      <x:c r="N44" s="79"/>
      <x:c r="O44" s="79"/>
      <x:c r="P44" s="79" t="str">
        <x:v>لم يبلغ بعد</x:v>
      </x:c>
      <x:c r="Q44" s="80" t="str">
        <x:f>IF(AND(COUNTIF('الفريق الكامل'!$B$6:$B$47,E44)=1,COUNTIF('الفريق الكامل'!$B$6:$B$47,D44)=1,IFERROR(VLOOKUP(E44,'الفريق الكامل'!$B$6:$E$47,4,FALSE),"")=C44,IFERROR(VLOOKUP(D44,'الفريق الكامل'!$B$6:$E$47,4,FALSE),"")=C44),"مطابق","تحقق من التكليف")</x:f>
        <x:v>مطابق</x:v>
      </x:c>
      <x:c r="R44" s="25" t="str">
        <x:v>تعيين تجريبي؛ البوابة الفعلية يختارها الضيف</x:v>
      </x:c>
    </x:row>
    <x:row r="45" ht="29" customHeight="1">
      <x:c r="A45" s="25" t="str">
        <x:v>GST-040</x:v>
      </x:c>
      <x:c r="B45" s="25" t="str">
        <x:f>'جميع الضيوف'!C45</x:f>
        <x:v>نجلاء العتيق</x:v>
      </x:c>
      <x:c r="C45" s="25" t="str">
        <x:f>'جميع الضيوف'!F45</x:f>
        <x:v>محكمو معرض الابتكار</x:v>
      </x:c>
      <x:c r="D45" s="25" t="str">
        <x:f>'جميع الضيوف'!J45</x:f>
        <x:v>مي العبدالله</x:v>
      </x:c>
      <x:c r="E45" s="25" t="str">
        <x:f>'جميع الضيوف'!K45</x:f>
        <x:v>يزن الرشيد</x:v>
      </x:c>
      <x:c r="F45" s="25" t="str">
        <x:f>IFERROR(VLOOKUP(C45,'خريطة التشغيل'!$A$6:$F$9,2,FALSE),"غير محدد")</x:f>
        <x:v>البوابة D</x:v>
      </x:c>
      <x:c r="G45" s="25" t="str">
        <x:f>IFERROR(VLOOKUP(C45,'خريطة التشغيل'!$A$6:$F$9,4,FALSE),"غير محدد")</x:f>
        <x:v>وسن الفهد</x:v>
      </x:c>
      <x:c r="H45" s="25" t="str">
        <x:f>IFERROR(VLOOKUP(C45,'خريطة التشغيل'!$A$6:$F$9,5,FALSE),"غير محدد")</x:f>
        <x:v>معرض الابتكار</x:v>
      </x:c>
      <x:c r="I45" s="25" t="str">
        <x:f>'جميع الضيوف'!I45</x:f>
        <x:v>اعتذر</x:v>
      </x:c>
      <x:c r="J45" s="25" t="str">
        <x:f>IFERROR(VLOOKUP(E45,'الفريق الكامل'!$B$6:$J$47,9,FALSE),"غير محدد")</x:f>
        <x:v>05XX-XXX-1029</x:v>
      </x:c>
      <x:c r="K45" s="25" t="str">
        <x:f>IFERROR(VLOOKUP(D45,'الفريق الكامل'!$B$6:$J$47,9,FALSE),"غير محدد")</x:f>
        <x:v>05XX-XXX-1028</x:v>
      </x:c>
      <x:c r="L45" s="25" t="str">
        <x:f>IFERROR(VLOOKUP(G45,'الفريق الكامل'!$B$6:$J$47,9,FALSE),"غير محدد")</x:f>
        <x:v>05XX-XXX-1037</x:v>
      </x:c>
      <x:c r="M45" s="25" t="str">
        <x:f>'جميع الضيوف'!G45</x:f>
        <x:v>05XX-XXX-0040</x:v>
      </x:c>
      <x:c r="N45" s="79"/>
      <x:c r="O45" s="79"/>
      <x:c r="P45" s="79" t="str">
        <x:v>لم يبلغ بعد</x:v>
      </x:c>
      <x:c r="Q45" s="80" t="str">
        <x:f>IF(AND(COUNTIF('الفريق الكامل'!$B$6:$B$47,E45)=1,COUNTIF('الفريق الكامل'!$B$6:$B$47,D45)=1,IFERROR(VLOOKUP(E45,'الفريق الكامل'!$B$6:$E$47,4,FALSE),"")=C45,IFERROR(VLOOKUP(D45,'الفريق الكامل'!$B$6:$E$47,4,FALSE),"")=C45),"مطابق","تحقق من التكليف")</x:f>
        <x:v>مطابق</x:v>
      </x:c>
      <x:c r="R45" s="25" t="str">
        <x:v>تعيين تجريبي؛ البوابة الفعلية يختارها الضيف</x:v>
      </x:c>
    </x:row>
  </x:sheetData>
  <x:mergeCells>
    <x:mergeCell ref="A1:R1"/>
    <x:mergeCell ref="A2:R2"/>
    <x:mergeCell ref="A3:R3"/>
  </x:mergeCells>
  <x:conditionalFormatting sqref="Q6:Q45">
    <x:cfRule type="expression" dxfId="22" priority="1">
      <x:formula>Q6&lt;&gt;"مطابق"</x:formula>
    </x:cfRule>
  </x:conditionalFormatting>
  <x:dataValidations count="2">
    <x:dataValidation type="list" sqref="N6:N45">
      <x:formula1>"البوابة A,البوابة B,البوابة C,البوابة D"</x:formula1>
    </x:dataValidation>
    <x:dataValidation type="list" sqref="P6:P45">
      <x:formula1>"لم يبلغ بعد,أنا قريب,وصلت,تم الاستقبال,تمت المرافقة,طلب مساعدة"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011ca86f04b4407"/>
  </x:tableParts>
</x:worksheet>
</file>

<file path=xl/worksheets/sheet9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24" hidden="0" customWidth="1"/>
    <x:col min="3" max="3" width="30" hidden="0" customWidth="1"/>
    <x:col min="4" max="4" width="22" hidden="0" customWidth="1"/>
    <x:col min="5" max="5" width="33" hidden="0" customWidth="1"/>
    <x:col min="6" max="6" width="22" hidden="0" customWidth="1"/>
    <x:col min="7" max="7" width="17" hidden="0" customWidth="1"/>
    <x:col min="8" max="8" width="20" hidden="0" customWidth="1"/>
    <x:col min="9" max="9" width="20" hidden="0" customWidth="1"/>
  </x:cols>
  <x:sheetData>
    <x:row r="1" ht="38" customHeight="1">
      <x:c r="A1" s="55" t="str">
        <x:v>EVENTOPS AI  |  خريطة التشغيل والبوابات</x:v>
      </x:c>
      <x:c r="B1" s="55"/>
      <x:c r="C1" s="55"/>
      <x:c r="D1" s="55"/>
      <x:c r="E1" s="55"/>
      <x:c r="F1" s="55"/>
      <x:c r="G1" s="55"/>
      <x:c r="H1" s="55"/>
      <x:c r="I1" s="55"/>
    </x:row>
    <x:row r="2" ht="29" customHeight="1">
      <x:c r="A2" s="58" t="str">
        <x:v>مرجع توزيع الاستقبال الآلي؛ جميع المواقع والأسماء بيانات تجريبية</x:v>
      </x:c>
      <x:c r="B2" s="58"/>
      <x:c r="C2" s="58"/>
      <x:c r="D2" s="58"/>
      <x:c r="E2" s="58"/>
      <x:c r="F2" s="58"/>
      <x:c r="G2" s="58"/>
      <x:c r="H2" s="58"/>
      <x:c r="I2" s="58"/>
    </x:row>
    <x:row r="3" ht="26" customHeight="1">
      <x:c r="A3" s="61" t="str">
        <x:v>عند تغيير البوابة بواسطة الضيف يُوجه الطلب إلى مسؤول البوابة المختارة مع إبقاء قائد المسار على اطلاع.</x:v>
      </x:c>
      <x:c r="B3" s="61"/>
      <x:c r="C3" s="61"/>
      <x:c r="D3" s="61"/>
      <x:c r="E3" s="61"/>
      <x:c r="F3" s="61"/>
      <x:c r="G3" s="61"/>
      <x:c r="H3" s="61"/>
      <x:c r="I3" s="61"/>
    </x:row>
    <x:row r="5" ht="36" customHeight="1">
      <x:c r="A5" s="65" t="str">
        <x:v>المسار</x:v>
      </x:c>
      <x:c r="B5" s="65" t="str">
        <x:v>البوابة الافتراضية</x:v>
      </x:c>
      <x:c r="C5" s="65" t="str">
        <x:v>المنطقة</x:v>
      </x:c>
      <x:c r="D5" s="65" t="str">
        <x:v>مسؤول المنطقة</x:v>
      </x:c>
      <x:c r="E5" s="65" t="str">
        <x:v>الوجهة الأساسية</x:v>
      </x:c>
      <x:c r="F5" s="65" t="str">
        <x:v>قائد المسار</x:v>
      </x:c>
      <x:c r="G5" s="65" t="str">
        <x:v>أعضاء الفريق</x:v>
      </x:c>
      <x:c r="H5" s="65" t="str">
        <x:v>إجمالي الضيوف</x:v>
      </x:c>
      <x:c r="I5" s="65" t="str">
        <x:v>الضيوف المؤكدون</x:v>
      </x:c>
    </x:row>
    <x:row r="6" ht="34" customHeight="1">
      <x:c r="A6" s="24" t="str">
        <x:v>المستثمرون – يوم العروض</x:v>
      </x:c>
      <x:c r="B6" s="24" t="str">
        <x:v>البوابة A</x:v>
      </x:c>
      <x:c r="C6" s="24" t="str">
        <x:v>منطقة كبار الشخصيات</x:v>
      </x:c>
      <x:c r="D6" s="24" t="str">
        <x:v>أحمد السويلم</x:v>
      </x:c>
      <x:c r="E6" s="24" t="str">
        <x:v>قاعة Demo Day</x:v>
      </x:c>
      <x:c r="F6" s="24" t="str">
        <x:v>نادر الحربي</x:v>
      </x:c>
      <x:c r="G6" s="71" t="n">
        <x:f>COUNTIF('الفريق الكامل'!$E$6:$E$47,A6)</x:f>
        <x:v>7</x:v>
      </x:c>
      <x:c r="H6" s="71" t="n">
        <x:f>COUNTIF('جميع الضيوف'!$F$6:$F$45,A6)</x:f>
        <x:v>10</x:v>
      </x:c>
      <x:c r="I6" s="71" t="n">
        <x:f>COUNTIFS('جميع الضيوف'!$F$6:$F$45,A6,'جميع الضيوف'!$I$6:$I$45,"مؤكد")</x:f>
        <x:v>6</x:v>
      </x:c>
    </x:row>
    <x:row r="7" ht="34" customHeight="1">
      <x:c r="A7" s="24" t="str">
        <x:v>المحكمون الدوليون</x:v>
      </x:c>
      <x:c r="B7" s="24" t="str">
        <x:v>البوابة B</x:v>
      </x:c>
      <x:c r="C7" s="24" t="str">
        <x:v>منطقة المحكمين الدوليين</x:v>
      </x:c>
      <x:c r="D7" s="24" t="str">
        <x:v>دلال المري</x:v>
      </x:c>
      <x:c r="E7" s="24" t="str">
        <x:v>قاعة التحكيم الدولي</x:v>
      </x:c>
      <x:c r="F7" s="24" t="str">
        <x:v>سارة الماجد</x:v>
      </x:c>
      <x:c r="G7" s="71" t="n">
        <x:f>COUNTIF('الفريق الكامل'!$E$6:$E$47,A7)</x:f>
        <x:v>5</x:v>
      </x:c>
      <x:c r="H7" s="71" t="n">
        <x:f>COUNTIF('جميع الضيوف'!$F$6:$F$45,A7)</x:f>
        <x:v>10</x:v>
      </x:c>
      <x:c r="I7" s="71" t="n">
        <x:f>COUNTIFS('جميع الضيوف'!$F$6:$F$45,A7,'جميع الضيوف'!$I$6:$I$45,"مؤكد")</x:f>
        <x:v>6</x:v>
      </x:c>
    </x:row>
    <x:row r="8" ht="34" customHeight="1">
      <x:c r="A8" s="24" t="str">
        <x:v>المرشدون</x:v>
      </x:c>
      <x:c r="B8" s="24" t="str">
        <x:v>البوابة C</x:v>
      </x:c>
      <x:c r="C8" s="24" t="str">
        <x:v>منطقة المرشدين</x:v>
      </x:c>
      <x:c r="D8" s="24" t="str">
        <x:v>عبدالعزيز البحيري</x:v>
      </x:c>
      <x:c r="E8" s="24" t="str">
        <x:v>منطقة الإرشاد</x:v>
      </x:c>
      <x:c r="F8" s="24" t="str">
        <x:v>فيصل اليامي</x:v>
      </x:c>
      <x:c r="G8" s="71" t="n">
        <x:f>COUNTIF('الفريق الكامل'!$E$6:$E$47,A8)</x:f>
        <x:v>13</x:v>
      </x:c>
      <x:c r="H8" s="71" t="n">
        <x:f>COUNTIF('جميع الضيوف'!$F$6:$F$45,A8)</x:f>
        <x:v>10</x:v>
      </x:c>
      <x:c r="I8" s="71" t="n">
        <x:f>COUNTIFS('جميع الضيوف'!$F$6:$F$45,A8,'جميع الضيوف'!$I$6:$I$45,"مؤكد")</x:f>
        <x:v>6</x:v>
      </x:c>
    </x:row>
    <x:row r="9" ht="34" customHeight="1">
      <x:c r="A9" s="24" t="str">
        <x:v>محكمو معرض الابتكار</x:v>
      </x:c>
      <x:c r="B9" s="24" t="str">
        <x:v>البوابة D</x:v>
      </x:c>
      <x:c r="C9" s="24" t="str">
        <x:v>منطقة معرض الابتكار</x:v>
      </x:c>
      <x:c r="D9" s="24" t="str">
        <x:v>وسن الفهد</x:v>
      </x:c>
      <x:c r="E9" s="24" t="str">
        <x:v>معرض الابتكار</x:v>
      </x:c>
      <x:c r="F9" s="24" t="str">
        <x:v>مي العبدالله</x:v>
      </x:c>
      <x:c r="G9" s="71" t="n">
        <x:f>COUNTIF('الفريق الكامل'!$E$6:$E$47,A9)</x:f>
        <x:v>6</x:v>
      </x:c>
      <x:c r="H9" s="71" t="n">
        <x:f>COUNTIF('جميع الضيوف'!$F$6:$F$45,A9)</x:f>
        <x:v>10</x:v>
      </x:c>
      <x:c r="I9" s="71" t="n">
        <x:f>COUNTIFS('جميع الضيوف'!$F$6:$F$45,A9,'جميع الضيوف'!$I$6:$I$45,"مؤكد")</x:f>
        <x:v>6</x:v>
      </x:c>
    </x:row>
    <x:row r="12" ht="27" customHeight="1">
      <x:c r="A12" s="73" t="str">
        <x:v>قواعد تشغيل النموذج الأولي</x:v>
      </x:c>
      <x:c r="B12" s="73"/>
      <x:c r="C12" s="73"/>
      <x:c r="D12" s="73"/>
      <x:c r="E12" s="73"/>
      <x:c r="F12" s="73"/>
      <x:c r="G12" s="73"/>
      <x:c r="H12" s="73"/>
      <x:c r="I12" s="73"/>
    </x:row>
    <x:row r="14" ht="29" customHeight="1">
      <x:c r="A14" s="75" t="str">
        <x:v>1) في بوابة الضيف، يحدد الضيف «أنا قريب» أو «وصلت» ويختار بوابته الفعلية والموقف.</x:v>
      </x:c>
      <x:c r="B14" s="75"/>
      <x:c r="C14" s="75"/>
      <x:c r="D14" s="75"/>
      <x:c r="E14" s="75"/>
      <x:c r="F14" s="75"/>
      <x:c r="G14" s="75"/>
      <x:c r="H14" s="75"/>
      <x:c r="I14" s="75"/>
    </x:row>
    <x:row r="15" ht="29" customHeight="1">
      <x:c r="A15" s="78" t="str">
        <x:v>2) إشعار الوصول يذهب إلى عضو الاستقبال المعين في سجل الضيوف وإلى مسؤول البوابة المختارة وقائد المسار.</x:v>
      </x:c>
      <x:c r="B15" s="78"/>
      <x:c r="C15" s="78"/>
      <x:c r="D15" s="78"/>
      <x:c r="E15" s="78"/>
      <x:c r="F15" s="78"/>
      <x:c r="G15" s="78"/>
      <x:c r="H15" s="78"/>
      <x:c r="I15" s="78"/>
    </x:row>
    <x:row r="16" ht="29" customHeight="1">
      <x:c r="A16" s="75" t="str">
        <x:v>3) في حال تغيير البوابة عن الافتراضية، يجب الاعتماد على البوابة المختارة لتوجيه مسؤول المنطقة.</x:v>
      </x:c>
      <x:c r="B16" s="75"/>
      <x:c r="C16" s="75"/>
      <x:c r="D16" s="75"/>
      <x:c r="E16" s="75"/>
      <x:c r="F16" s="75"/>
      <x:c r="G16" s="75"/>
      <x:c r="H16" s="75"/>
      <x:c r="I16" s="75"/>
    </x:row>
    <x:row r="17" ht="29" customHeight="1">
      <x:c r="A17" s="78" t="str">
        <x:v>4) لا تُرسل الاتصالات للأرقام التجريبية؛ جميع الأسماء والأرقام ومواقع الوصول أمثلة للاختبار.</x:v>
      </x:c>
      <x:c r="B17" s="78"/>
      <x:c r="C17" s="78"/>
      <x:c r="D17" s="78"/>
      <x:c r="E17" s="78"/>
      <x:c r="F17" s="78"/>
      <x:c r="G17" s="78"/>
      <x:c r="H17" s="78"/>
      <x:c r="I17" s="78"/>
    </x:row>
    <x:row r="18" ht="29" customHeight="1">
      <x:c r="A18" s="75" t="str">
        <x:v>5) مصدر تعديل أسماء المستقبلين والقادة: «جميع الضيوف». مصادر الفريق والمواقع: «الفريق الكامل» و«خريطة التشغيل».</x:v>
      </x:c>
      <x:c r="B18" s="75"/>
      <x:c r="C18" s="75"/>
      <x:c r="D18" s="75"/>
      <x:c r="E18" s="75"/>
      <x:c r="F18" s="75"/>
      <x:c r="G18" s="75"/>
      <x:c r="H18" s="75"/>
      <x:c r="I18" s="75"/>
    </x:row>
    <x:row r="19" ht="29" customHeight="1">
      <x:c r="A19" s="78" t="str">
        <x:v>6) الأعمدة الخاصة بالبوابة الفعلية والموقف الفعلي في «توزيع الضيوف» قابلة للتحديث أثناء الاختبارات.</x:v>
      </x:c>
      <x:c r="B19" s="78"/>
      <x:c r="C19" s="78"/>
      <x:c r="D19" s="78"/>
      <x:c r="E19" s="78"/>
      <x:c r="F19" s="78"/>
      <x:c r="G19" s="78"/>
      <x:c r="H19" s="78"/>
      <x:c r="I19" s="78"/>
    </x:row>
  </x:sheetData>
  <x:mergeCells>
    <x:mergeCell ref="A1:I1"/>
    <x:mergeCell ref="A2:I2"/>
    <x:mergeCell ref="A3:I3"/>
    <x:mergeCell ref="A12:I12"/>
    <x:mergeCell ref="A14:I14"/>
    <x:mergeCell ref="A15:I15"/>
    <x:mergeCell ref="A16:I16"/>
    <x:mergeCell ref="A17:I17"/>
    <x:mergeCell ref="A18:I18"/>
    <x:mergeCell ref="A19:I19"/>
  </x:mergeCells>
  <x:pageMargins left="0.7" right="0.7" top="0.75" bottom="0.75" header="0.3" footer="0.3"/>
  <x:tableParts count="1">
    <x:tablePart xmlns:r="http://schemas.openxmlformats.org/officeDocument/2006/relationships" r:id="R6ee543e49c4f4003"/>
  </x:tableParts>
</x:worksheet>
</file>